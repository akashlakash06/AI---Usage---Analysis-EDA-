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5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kash\PROJECT\EXCELL WORKBOOK\"/>
    </mc:Choice>
  </mc:AlternateContent>
  <xr:revisionPtr revIDLastSave="0" documentId="13_ncr:1_{7A26C8E2-F62E-4643-9127-2D56BBF51682}" xr6:coauthVersionLast="47" xr6:coauthVersionMax="47" xr10:uidLastSave="{00000000-0000-0000-0000-000000000000}"/>
  <bookViews>
    <workbookView xWindow="-108" yWindow="-108" windowWidth="23256" windowHeight="12456" firstSheet="7" activeTab="11" xr2:uid="{6683C90A-C3A5-4F36-AB01-380C0A7517B2}"/>
  </bookViews>
  <sheets>
    <sheet name="1  TOOL USE PER" sheetId="2" r:id="rId1"/>
    <sheet name="2  PROMPT USE PER" sheetId="3" r:id="rId2"/>
    <sheet name="3.avg pro per s" sheetId="4" r:id="rId3"/>
    <sheet name="4  AVG TOKEN PER SESSION" sheetId="5" r:id="rId4"/>
    <sheet name="5  TOOL X PROMPT CAT" sheetId="6" r:id="rId5"/>
    <sheet name="6  TOOL X PROFESSION" sheetId="7" r:id="rId6"/>
    <sheet name="7  TOOL X CITY" sheetId="8" r:id="rId7"/>
    <sheet name="8  TOP 10 ENGAGED USERS" sheetId="9" r:id="rId8"/>
    <sheet name="9  LONGEST SESSION" sheetId="10" r:id="rId9"/>
    <sheet name="10 SHORTEST SESSION" sheetId="11" r:id="rId10"/>
    <sheet name="CAL" sheetId="1" r:id="rId11"/>
    <sheet name="Sheet2" sheetId="12" r:id="rId12"/>
  </sheets>
  <definedNames>
    <definedName name="ExternalData_1" localSheetId="0" hidden="1">'1  TOOL USE PER'!$A$1:$D$11</definedName>
    <definedName name="ExternalData_1" localSheetId="1" hidden="1">'2  PROMPT USE PER'!$A$1:$C$7</definedName>
    <definedName name="ExternalData_1" localSheetId="2" hidden="1">'3.avg pro per s'!$A$1:$B$2</definedName>
    <definedName name="ExternalData_1" localSheetId="3" hidden="1">'4  AVG TOKEN PER SESSION'!$A$1:$A$2</definedName>
    <definedName name="ExternalData_1" localSheetId="4" hidden="1">'5  TOOL X PROMPT CAT'!$A$1:$G$7</definedName>
    <definedName name="ExternalData_1" localSheetId="5" hidden="1">'6  TOOL X PROFESSION'!$A$1:$G$11</definedName>
    <definedName name="ExternalData_1" localSheetId="6" hidden="1">'7  TOOL X CITY'!$A$1:$G$11</definedName>
    <definedName name="ExternalData_1" localSheetId="7" hidden="1">'8  TOP 10 ENGAGED USERS'!$A$1:$I$11</definedName>
  </definedNames>
  <calcPr calcId="191029"/>
  <pivotCaches>
    <pivotCache cacheId="0" r:id="rId13"/>
    <pivotCache cacheId="1" r:id="rId14"/>
    <pivotCache cacheId="2" r:id="rId15"/>
    <pivotCache cacheId="6" r:id="rId16"/>
    <pivotCache cacheId="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9" l="1"/>
  <c r="K3" i="9"/>
  <c r="K4" i="9"/>
  <c r="K5" i="9"/>
  <c r="K6" i="9"/>
  <c r="K7" i="9"/>
  <c r="K8" i="9"/>
  <c r="K9" i="9"/>
  <c r="K10" i="9"/>
  <c r="K11" i="9"/>
  <c r="J2" i="9"/>
  <c r="J4" i="9"/>
  <c r="J5" i="9"/>
  <c r="J6" i="9"/>
  <c r="J7" i="9"/>
  <c r="J9" i="9"/>
  <c r="J8" i="9"/>
  <c r="J3" i="9"/>
  <c r="J10" i="9"/>
  <c r="J11" i="9"/>
  <c r="I2" i="8"/>
  <c r="I3" i="8"/>
  <c r="I4" i="8"/>
  <c r="I5" i="8"/>
  <c r="I6" i="8"/>
  <c r="I7" i="8"/>
  <c r="I8" i="8"/>
  <c r="I9" i="8"/>
  <c r="I10" i="8"/>
  <c r="I11" i="8"/>
  <c r="H2" i="8"/>
  <c r="H3" i="8"/>
  <c r="H4" i="8"/>
  <c r="H5" i="8"/>
  <c r="H6" i="8"/>
  <c r="H7" i="8"/>
  <c r="H8" i="8"/>
  <c r="H9" i="8"/>
  <c r="H10" i="8"/>
  <c r="H11" i="8"/>
  <c r="I2" i="7"/>
  <c r="I3" i="7"/>
  <c r="I4" i="7"/>
  <c r="I5" i="7"/>
  <c r="I6" i="7"/>
  <c r="I7" i="7"/>
  <c r="I8" i="7"/>
  <c r="I9" i="7"/>
  <c r="I10" i="7"/>
  <c r="I11" i="7"/>
  <c r="H2" i="7"/>
  <c r="H3" i="7"/>
  <c r="H4" i="7"/>
  <c r="H5" i="7"/>
  <c r="H6" i="7"/>
  <c r="H7" i="7"/>
  <c r="H8" i="7"/>
  <c r="H9" i="7"/>
  <c r="H10" i="7"/>
  <c r="H11" i="7"/>
  <c r="I2" i="6"/>
  <c r="I3" i="6"/>
  <c r="I4" i="6"/>
  <c r="I5" i="6"/>
  <c r="I6" i="6"/>
  <c r="I7" i="6"/>
  <c r="H2" i="6"/>
  <c r="H3" i="6"/>
  <c r="H4" i="6"/>
  <c r="H5" i="6"/>
  <c r="H6" i="6"/>
  <c r="H7" i="6"/>
  <c r="D5" i="11" a="1"/>
  <c r="C7" i="10"/>
  <c r="B7" i="10"/>
  <c r="A7" i="10"/>
  <c r="A7" i="5" a="1"/>
  <c r="B5" i="4" a="1"/>
  <c r="C3" i="3"/>
  <c r="C4" i="3"/>
  <c r="C5" i="3"/>
  <c r="C6" i="3"/>
  <c r="C7" i="3"/>
  <c r="C2" i="3"/>
  <c r="D11" i="2"/>
  <c r="D9" i="2"/>
  <c r="D4" i="2"/>
  <c r="D6" i="2"/>
  <c r="D7" i="2"/>
  <c r="D2" i="2"/>
  <c r="D5" i="2"/>
  <c r="D3" i="2"/>
  <c r="D8" i="2"/>
  <c r="D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F55518-AB2C-4F34-9CD3-26434AD7330D}" keepAlive="1" name="Query - 1  TOOL USE PER" description="Connection to the '1  TOOL USE PER' query in the workbook." type="5" refreshedVersion="8" background="1" saveData="1">
    <dbPr connection="Provider=Microsoft.Mashup.OleDb.1;Data Source=$Workbook$;Location=&quot;1  TOOL USE PER&quot;;Extended Properties=&quot;&quot;" command="SELECT * FROM [1  TOOL USE PER]"/>
  </connection>
  <connection id="2" xr16:uid="{6BCEC05D-2E3B-41F3-AE6E-6377A3413E58}" keepAlive="1" name="Query - 10 SHORTEST SESSION" description="Connection to the '10 SHORTEST SESSION' query in the workbook." type="5" refreshedVersion="8" background="1" saveData="1">
    <dbPr connection="Provider=Microsoft.Mashup.OleDb.1;Data Source=$Workbook$;Location=&quot;10 SHORTEST SESSION&quot;;Extended Properties=&quot;&quot;" command="SELECT * FROM [10 SHORTEST SESSION]"/>
  </connection>
  <connection id="3" xr16:uid="{0DC81865-F83E-45BF-A1C1-4F17FBAB40FF}" keepAlive="1" name="Query - 2  PROMPT USE PER" description="Connection to the '2  PROMPT USE PER' query in the workbook." type="5" refreshedVersion="8" background="1" saveData="1">
    <dbPr connection="Provider=Microsoft.Mashup.OleDb.1;Data Source=$Workbook$;Location=&quot;2  PROMPT USE PER&quot;;Extended Properties=&quot;&quot;" command="SELECT * FROM [2  PROMPT USE PER]"/>
  </connection>
  <connection id="4" xr16:uid="{3BAAD336-C643-4717-9563-76FD7890B879}" keepAlive="1" name="Query - 3  AVG PROMPTS PER SESSION" description="Connection to the '3  AVG PROMPTS PER SESSION' query in the workbook." type="5" refreshedVersion="8" background="1" saveData="1">
    <dbPr connection="Provider=Microsoft.Mashup.OleDb.1;Data Source=$Workbook$;Location=&quot;3  AVG PROMPTS PER SESSION&quot;;Extended Properties=&quot;&quot;" command="SELECT * FROM [3  AVG PROMPTS PER SESSION]"/>
  </connection>
  <connection id="5" xr16:uid="{9FC9EC70-FB6B-42FA-A7F4-BF4FA01AF92A}" keepAlive="1" name="Query - 4  AVG TOKEN PER SESSION" description="Connection to the '4  AVG TOKEN PER SESSION' query in the workbook." type="5" refreshedVersion="8" background="1" saveData="1">
    <dbPr connection="Provider=Microsoft.Mashup.OleDb.1;Data Source=$Workbook$;Location=&quot;4  AVG TOKEN PER SESSION&quot;;Extended Properties=&quot;&quot;" command="SELECT * FROM [4  AVG TOKEN PER SESSION]"/>
  </connection>
  <connection id="6" xr16:uid="{AA3A3F9E-5258-45EE-928E-0FE34A719DF7}" keepAlive="1" name="Query - 5  TOOL X PROMPT CAT" description="Connection to the '5  TOOL X PROMPT CAT' query in the workbook." type="5" refreshedVersion="8" background="1" saveData="1">
    <dbPr connection="Provider=Microsoft.Mashup.OleDb.1;Data Source=$Workbook$;Location=&quot;5  TOOL X PROMPT CAT&quot;;Extended Properties=&quot;&quot;" command="SELECT * FROM [5  TOOL X PROMPT CAT]"/>
  </connection>
  <connection id="7" xr16:uid="{1068A0A0-2FB6-4B63-AB29-2C7AA6CEC64D}" keepAlive="1" name="Query - 6  TOOL X PROFESSION" description="Connection to the '6  TOOL X PROFESSION' query in the workbook." type="5" refreshedVersion="8" background="1" saveData="1">
    <dbPr connection="Provider=Microsoft.Mashup.OleDb.1;Data Source=$Workbook$;Location=&quot;6  TOOL X PROFESSION&quot;;Extended Properties=&quot;&quot;" command="SELECT * FROM [6  TOOL X PROFESSION]"/>
  </connection>
  <connection id="8" xr16:uid="{EF2D7643-7600-4CE0-898E-1B61B069F0CC}" keepAlive="1" name="Query - 7  TOOL X CITY" description="Connection to the '7  TOOL X CITY' query in the workbook." type="5" refreshedVersion="8" background="1" saveData="1">
    <dbPr connection="Provider=Microsoft.Mashup.OleDb.1;Data Source=$Workbook$;Location=&quot;7  TOOL X CITY&quot;;Extended Properties=&quot;&quot;" command="SELECT * FROM [7  TOOL X CITY]"/>
  </connection>
  <connection id="9" xr16:uid="{48A4B813-FF8B-49C3-9CB6-1B3343919BF4}" keepAlive="1" name="Query - 8  TOP 10 ENGAGED USERS" description="Connection to the '8  TOP 10 ENGAGED USERS' query in the workbook." type="5" refreshedVersion="8" background="1" saveData="1">
    <dbPr connection="Provider=Microsoft.Mashup.OleDb.1;Data Source=$Workbook$;Location=&quot;8  TOP 10 ENGAGED USERS&quot;;Extended Properties=&quot;&quot;" command="SELECT * FROM [8  TOP 10 ENGAGED USERS]"/>
  </connection>
  <connection id="10" xr16:uid="{73EA9649-2B84-4E38-9F1C-AB5645A6CF4E}" keepAlive="1" name="Query - 9  LONGEST SESSION" description="Connection to the '9  LONGEST SESSION' query in the workbook." type="5" refreshedVersion="0" background="1">
    <dbPr connection="Provider=Microsoft.Mashup.OleDb.1;Data Source=$Workbook$;Location=&quot;9  LONGEST SESSION&quot;;Extended Properties=&quot;&quot;" command="SELECT * FROM [9  LONGEST SESS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<sst xmlns="http://schemas.openxmlformats.org/spreadsheetml/2006/main" count="262" uniqueCount="125">
  <si>
    <t>TOOL_ID</t>
  </si>
  <si>
    <t>TOOL_NAME</t>
  </si>
  <si>
    <t>TOTAL_SESSIONS</t>
  </si>
  <si>
    <t>USE_PERCENTAGE</t>
  </si>
  <si>
    <t>T01</t>
  </si>
  <si>
    <t>ChatGPT</t>
  </si>
  <si>
    <t>T02</t>
  </si>
  <si>
    <t>Gemini</t>
  </si>
  <si>
    <t>T03</t>
  </si>
  <si>
    <t>Claude</t>
  </si>
  <si>
    <t>T04</t>
  </si>
  <si>
    <t>Copilot</t>
  </si>
  <si>
    <t>T05</t>
  </si>
  <si>
    <t>Perplexity</t>
  </si>
  <si>
    <t>T06</t>
  </si>
  <si>
    <t>Grok</t>
  </si>
  <si>
    <t>T07</t>
  </si>
  <si>
    <t>DeepSeek</t>
  </si>
  <si>
    <t>T08</t>
  </si>
  <si>
    <t>Midjourney</t>
  </si>
  <si>
    <t>T09</t>
  </si>
  <si>
    <t>Canva AI</t>
  </si>
  <si>
    <t>T10</t>
  </si>
  <si>
    <t>Firefly</t>
  </si>
  <si>
    <t>CATEGORY</t>
  </si>
  <si>
    <t>PERCENTAGE</t>
  </si>
  <si>
    <t>Coding</t>
  </si>
  <si>
    <t>Writing</t>
  </si>
  <si>
    <t>Research</t>
  </si>
  <si>
    <t>Business</t>
  </si>
  <si>
    <t>Learning</t>
  </si>
  <si>
    <t>Image Generation</t>
  </si>
  <si>
    <t>SESSION_ID</t>
  </si>
  <si>
    <t>AVG_PROMPTS</t>
  </si>
  <si>
    <t>S7444</t>
  </si>
  <si>
    <t>avg token per session</t>
  </si>
  <si>
    <t>TOTAL_USERS</t>
  </si>
  <si>
    <t>TOTAL_PROMPTS</t>
  </si>
  <si>
    <t>TOTAL_TOKEN_USED</t>
  </si>
  <si>
    <t>TOTAL_DAYS</t>
  </si>
  <si>
    <t>PROFESSION</t>
  </si>
  <si>
    <t>Product Manager</t>
  </si>
  <si>
    <t>Content Writer</t>
  </si>
  <si>
    <t>Legal Advisor</t>
  </si>
  <si>
    <t>Strategy Manager</t>
  </si>
  <si>
    <t>Procurement Officer</t>
  </si>
  <si>
    <t>QA Engineer</t>
  </si>
  <si>
    <t>CIO</t>
  </si>
  <si>
    <t>Data Analyst</t>
  </si>
  <si>
    <t>CITY</t>
  </si>
  <si>
    <t>Vadodara</t>
  </si>
  <si>
    <t>Indore</t>
  </si>
  <si>
    <t>Vijayawada</t>
  </si>
  <si>
    <t>Nagpur</t>
  </si>
  <si>
    <t>Faridabad</t>
  </si>
  <si>
    <t>Ahmedabad</t>
  </si>
  <si>
    <t>Delhi</t>
  </si>
  <si>
    <t>Tiruppur</t>
  </si>
  <si>
    <t>Madurai</t>
  </si>
  <si>
    <t>Ghaziabad</t>
  </si>
  <si>
    <t>USER_ID</t>
  </si>
  <si>
    <t>USER_NAME</t>
  </si>
  <si>
    <t>TOTAL_TOOLS_USED</t>
  </si>
  <si>
    <t>TOTAL_SESSION</t>
  </si>
  <si>
    <t>TOTAL_PROMPT</t>
  </si>
  <si>
    <t>total_duration_min</t>
  </si>
  <si>
    <t>U0270</t>
  </si>
  <si>
    <t>Krishna Gupta</t>
  </si>
  <si>
    <t>U0330</t>
  </si>
  <si>
    <t>Priya Varma</t>
  </si>
  <si>
    <t>U0627</t>
  </si>
  <si>
    <t>Manoj Singh</t>
  </si>
  <si>
    <t>Jaipur</t>
  </si>
  <si>
    <t>U1603</t>
  </si>
  <si>
    <t>Mohan Agarwal</t>
  </si>
  <si>
    <t>U1545</t>
  </si>
  <si>
    <t>Swati Singh</t>
  </si>
  <si>
    <t>Nashik</t>
  </si>
  <si>
    <t>U2140</t>
  </si>
  <si>
    <t>Isha Tiwari</t>
  </si>
  <si>
    <t>U0718</t>
  </si>
  <si>
    <t>Arjun Desai</t>
  </si>
  <si>
    <t>Lucknow</t>
  </si>
  <si>
    <t>U0830</t>
  </si>
  <si>
    <t>Venkat Das</t>
  </si>
  <si>
    <t>Ludhiana</t>
  </si>
  <si>
    <t>U0502</t>
  </si>
  <si>
    <t>Kavya Sharma</t>
  </si>
  <si>
    <t>Mumbai</t>
  </si>
  <si>
    <t>U1793</t>
  </si>
  <si>
    <t>Kavya Singh</t>
  </si>
  <si>
    <t>Hyderabad</t>
  </si>
  <si>
    <t>Column1</t>
  </si>
  <si>
    <t>Column2</t>
  </si>
  <si>
    <t>Column3</t>
  </si>
  <si>
    <t>Column4</t>
  </si>
  <si>
    <t>U0877</t>
  </si>
  <si>
    <t>Krishna Iyer</t>
  </si>
  <si>
    <t>S0542</t>
  </si>
  <si>
    <t>8 Hour</t>
  </si>
  <si>
    <t>U0617</t>
  </si>
  <si>
    <t>Vikram Gupta</t>
  </si>
  <si>
    <t>S0039</t>
  </si>
  <si>
    <t>5 Minutes</t>
  </si>
  <si>
    <t>user id</t>
  </si>
  <si>
    <t>name</t>
  </si>
  <si>
    <t>session id</t>
  </si>
  <si>
    <t>duration</t>
  </si>
  <si>
    <t>Row Labels</t>
  </si>
  <si>
    <t>Grand Total</t>
  </si>
  <si>
    <t>TOTAL SCORE</t>
  </si>
  <si>
    <t>PER</t>
  </si>
  <si>
    <t>Sum of PER</t>
  </si>
  <si>
    <t xml:space="preserve">total score </t>
  </si>
  <si>
    <t xml:space="preserve">per </t>
  </si>
  <si>
    <t xml:space="preserve">Sum of per </t>
  </si>
  <si>
    <t>ML Engineer</t>
  </si>
  <si>
    <t>DevOps</t>
  </si>
  <si>
    <t xml:space="preserve">TOTAL SCORE </t>
  </si>
  <si>
    <t>Perplex</t>
  </si>
  <si>
    <t>Midjour</t>
  </si>
  <si>
    <t>Sum of TOTAL_SESSIONS</t>
  </si>
  <si>
    <t>Sum of USE_PERCENTAGE</t>
  </si>
  <si>
    <t xml:space="preserve">PER </t>
  </si>
  <si>
    <t xml:space="preserve">Sum of 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</si>
</sst>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5">
    <dxf>
      <numFmt numFmtId="165" formatCode="0.0%"/>
    </dxf>
    <dxf>
      <numFmt numFmtId="0" formatCode="General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 BONUS INSIGHTS.xlsx]5  TOOL X PROMPT CAT!PivotTable17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lumMod val="5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50" b="1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8696581196581197"/>
          <c:w val="0.99691601049868761"/>
          <c:h val="0.54208560468402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  TOOL X PROMPT CAT'!$G$12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'5  TOOL X PROMPT CAT'!$F$13:$F$23</c:f>
              <c:multiLvlStrCache>
                <c:ptCount val="6"/>
                <c:lvl>
                  <c:pt idx="0">
                    <c:v>Business</c:v>
                  </c:pt>
                  <c:pt idx="1">
                    <c:v>Coding</c:v>
                  </c:pt>
                  <c:pt idx="2">
                    <c:v>Research</c:v>
                  </c:pt>
                  <c:pt idx="3">
                    <c:v>Writing</c:v>
                  </c:pt>
                  <c:pt idx="4">
                    <c:v>Learning</c:v>
                  </c:pt>
                  <c:pt idx="5">
                    <c:v>Image Generation</c:v>
                  </c:pt>
                </c:lvl>
                <c:lvl>
                  <c:pt idx="0">
                    <c:v>DeepSeek</c:v>
                  </c:pt>
                  <c:pt idx="3">
                    <c:v>Canva AI</c:v>
                  </c:pt>
                  <c:pt idx="4">
                    <c:v>ChatGPT</c:v>
                  </c:pt>
                  <c:pt idx="5">
                    <c:v>Perplexity</c:v>
                  </c:pt>
                </c:lvl>
              </c:multiLvlStrCache>
            </c:multiLvlStrRef>
          </c:cat>
          <c:val>
            <c:numRef>
              <c:f>'5  TOOL X PROMPT CAT'!$G$13:$G$23</c:f>
              <c:numCache>
                <c:formatCode>0.00%</c:formatCode>
                <c:ptCount val="6"/>
                <c:pt idx="0">
                  <c:v>0.25618152465909888</c:v>
                </c:pt>
                <c:pt idx="1">
                  <c:v>0.65008582349075084</c:v>
                </c:pt>
                <c:pt idx="2">
                  <c:v>0.4065959659768883</c:v>
                </c:pt>
                <c:pt idx="3">
                  <c:v>0.3800832073099919</c:v>
                </c:pt>
                <c:pt idx="4">
                  <c:v>0.18916901165795669</c:v>
                </c:pt>
                <c:pt idx="5">
                  <c:v>7.5023768959334339E-2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E-4454-BCDF-1197BE813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9591231"/>
        <c:axId val="128016271"/>
      </c:barChart>
      <c:catAx>
        <c:axId val="143959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6271"/>
        <c:crosses val="autoZero"/>
        <c:auto val="1"/>
        <c:lblAlgn val="ctr"/>
        <c:lblOffset val="100"/>
        <c:noMultiLvlLbl val="0"/>
      </c:catAx>
      <c:valAx>
        <c:axId val="1280162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3959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 BONUS INSIGHTS.xlsx]6  TOOL X PROFESSION!PivotTable19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lumMod val="5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2.6725589225589239E-2"/>
            </c:manualLayout>
          </c:layout>
          <c:spPr>
            <a:solidFill>
              <a:schemeClr val="accent5">
                <a:lumMod val="5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ound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2438544739429691E-3"/>
          <c:y val="0.18707912457912457"/>
          <c:w val="0.99375614552605707"/>
          <c:h val="0.295904461279461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  TOOL X PROFESSION'!$B$14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64-4223-952A-8A682DBFD156}"/>
              </c:ext>
            </c:extLst>
          </c:dPt>
          <c:dLbls>
            <c:dLbl>
              <c:idx val="3"/>
              <c:layout>
                <c:manualLayout>
                  <c:x val="0"/>
                  <c:y val="-2.67255892255892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64-4223-952A-8A682DBFD156}"/>
                </c:ext>
              </c:extLst>
            </c:dLbl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'6  TOOL X PROFESSION'!$A$15:$A$32</c:f>
              <c:multiLvlStrCache>
                <c:ptCount val="10"/>
                <c:lvl>
                  <c:pt idx="0">
                    <c:v>Content Writer</c:v>
                  </c:pt>
                  <c:pt idx="1">
                    <c:v>Legal Advisor</c:v>
                  </c:pt>
                  <c:pt idx="2">
                    <c:v>ML Engineer</c:v>
                  </c:pt>
                  <c:pt idx="3">
                    <c:v>Product Manager</c:v>
                  </c:pt>
                  <c:pt idx="4">
                    <c:v>Strategy Manager</c:v>
                  </c:pt>
                  <c:pt idx="5">
                    <c:v>Procurement Officer</c:v>
                  </c:pt>
                  <c:pt idx="6">
                    <c:v>QA Engineer</c:v>
                  </c:pt>
                  <c:pt idx="7">
                    <c:v>CIO</c:v>
                  </c:pt>
                  <c:pt idx="8">
                    <c:v>DevOps</c:v>
                  </c:pt>
                  <c:pt idx="9">
                    <c:v>Data Analyst</c:v>
                  </c:pt>
                </c:lvl>
                <c:lvl>
                  <c:pt idx="0">
                    <c:v>DeepSeek</c:v>
                  </c:pt>
                  <c:pt idx="3">
                    <c:v>Claude</c:v>
                  </c:pt>
                  <c:pt idx="5">
                    <c:v>Midjour</c:v>
                  </c:pt>
                  <c:pt idx="6">
                    <c:v>Firefly</c:v>
                  </c:pt>
                  <c:pt idx="7">
                    <c:v>ChatGPT</c:v>
                  </c:pt>
                  <c:pt idx="8">
                    <c:v>Copilot</c:v>
                  </c:pt>
                  <c:pt idx="9">
                    <c:v>Canva AI</c:v>
                  </c:pt>
                </c:lvl>
              </c:multiLvlStrCache>
            </c:multiLvlStrRef>
          </c:cat>
          <c:val>
            <c:numRef>
              <c:f>'6  TOOL X PROFESSION'!$B$15:$B$32</c:f>
              <c:numCache>
                <c:formatCode>0.0%</c:formatCode>
                <c:ptCount val="10"/>
                <c:pt idx="0">
                  <c:v>0.10619616535120914</c:v>
                </c:pt>
                <c:pt idx="1">
                  <c:v>0.10373643997549285</c:v>
                </c:pt>
                <c:pt idx="2">
                  <c:v>9.0171910476808309E-2</c:v>
                </c:pt>
                <c:pt idx="3">
                  <c:v>0.12281958409918189</c:v>
                </c:pt>
                <c:pt idx="4">
                  <c:v>0.10209211806681803</c:v>
                </c:pt>
                <c:pt idx="5">
                  <c:v>0.10147493422712366</c:v>
                </c:pt>
                <c:pt idx="6">
                  <c:v>9.7654701409161354E-2</c:v>
                </c:pt>
                <c:pt idx="7">
                  <c:v>9.7447471798753016E-2</c:v>
                </c:pt>
                <c:pt idx="8">
                  <c:v>8.9563736620175152E-2</c:v>
                </c:pt>
                <c:pt idx="9">
                  <c:v>8.8842937975276606E-2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4-4223-952A-8A682DBFD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25"/>
        <c:axId val="104816752"/>
        <c:axId val="1965966127"/>
      </c:barChart>
      <c:catAx>
        <c:axId val="10481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966127"/>
        <c:crosses val="autoZero"/>
        <c:auto val="1"/>
        <c:lblAlgn val="ctr"/>
        <c:lblOffset val="100"/>
        <c:noMultiLvlLbl val="0"/>
      </c:catAx>
      <c:valAx>
        <c:axId val="1965966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0481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 BONUS INSIGHTS.xlsx]7  TOOL X CITY!PivotTable34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lumMod val="5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2534667732606943E-2"/>
              <c:y val="0"/>
            </c:manualLayout>
          </c:layout>
          <c:spPr>
            <a:solidFill>
              <a:schemeClr val="accent5">
                <a:lumMod val="50000"/>
              </a:schemeClr>
            </a:solidFill>
            <a:ln>
              <a:solidFill>
                <a:schemeClr val="dk1">
                  <a:lumMod val="25000"/>
                  <a:lumOff val="75000"/>
                </a:scheme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7777777777777779E-3"/>
          <c:y val="0.16944647094831999"/>
          <c:w val="0.99722222222222223"/>
          <c:h val="0.462094035370179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  TOOL X CITY'!$G$17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Lbl>
              <c:idx val="2"/>
              <c:layout>
                <c:manualLayout>
                  <c:x val="1.253466773260694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E3-4B7D-9BC2-4071DDC94567}"/>
                </c:ext>
              </c:extLst>
            </c:dLbl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  TOOL X CITY'!$F$18:$F$34</c:f>
              <c:multiLvlStrCache>
                <c:ptCount val="10"/>
                <c:lvl>
                  <c:pt idx="0">
                    <c:v>Faridabad</c:v>
                  </c:pt>
                  <c:pt idx="1">
                    <c:v>Vijayawada</c:v>
                  </c:pt>
                  <c:pt idx="2">
                    <c:v>Vadodara</c:v>
                  </c:pt>
                  <c:pt idx="3">
                    <c:v>Ahmedabad</c:v>
                  </c:pt>
                  <c:pt idx="4">
                    <c:v>Delhi</c:v>
                  </c:pt>
                  <c:pt idx="5">
                    <c:v>Ghaziabad</c:v>
                  </c:pt>
                  <c:pt idx="6">
                    <c:v>Indore</c:v>
                  </c:pt>
                  <c:pt idx="7">
                    <c:v>Tiruppur</c:v>
                  </c:pt>
                  <c:pt idx="8">
                    <c:v>Nagpur</c:v>
                  </c:pt>
                  <c:pt idx="9">
                    <c:v>Madurai</c:v>
                  </c:pt>
                </c:lvl>
                <c:lvl>
                  <c:pt idx="0">
                    <c:v>ChatGPT</c:v>
                  </c:pt>
                  <c:pt idx="2">
                    <c:v>Copilot</c:v>
                  </c:pt>
                  <c:pt idx="3">
                    <c:v>DeepSeek</c:v>
                  </c:pt>
                  <c:pt idx="7">
                    <c:v>Grok</c:v>
                  </c:pt>
                  <c:pt idx="8">
                    <c:v>Midjour</c:v>
                  </c:pt>
                  <c:pt idx="9">
                    <c:v>Perplex</c:v>
                  </c:pt>
                </c:lvl>
              </c:multiLvlStrCache>
            </c:multiLvlStrRef>
          </c:cat>
          <c:val>
            <c:numRef>
              <c:f>'7  TOOL X CITY'!$G$18:$G$34</c:f>
              <c:numCache>
                <c:formatCode>0.00%</c:formatCode>
                <c:ptCount val="10"/>
                <c:pt idx="0">
                  <c:v>9.6862539200522207E-2</c:v>
                </c:pt>
                <c:pt idx="1">
                  <c:v>0.10576336365313391</c:v>
                </c:pt>
                <c:pt idx="2">
                  <c:v>0.12528912602347064</c:v>
                </c:pt>
                <c:pt idx="3">
                  <c:v>9.1111946758240983E-2</c:v>
                </c:pt>
                <c:pt idx="4">
                  <c:v>9.0239247349973753E-2</c:v>
                </c:pt>
                <c:pt idx="5">
                  <c:v>8.919981268890749E-2</c:v>
                </c:pt>
                <c:pt idx="6">
                  <c:v>0.12130876530771523</c:v>
                </c:pt>
                <c:pt idx="7">
                  <c:v>9.0182486412850676E-2</c:v>
                </c:pt>
                <c:pt idx="8">
                  <c:v>0.10042428800499496</c:v>
                </c:pt>
                <c:pt idx="9">
                  <c:v>8.961842460019015E-2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7-4DFA-A7A4-09BA87CD87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7"/>
        <c:axId val="133589839"/>
        <c:axId val="127946671"/>
      </c:barChart>
      <c:catAx>
        <c:axId val="13358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6671"/>
        <c:crosses val="autoZero"/>
        <c:auto val="1"/>
        <c:lblAlgn val="ctr"/>
        <c:lblOffset val="100"/>
        <c:noMultiLvlLbl val="0"/>
      </c:catAx>
      <c:valAx>
        <c:axId val="1279466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3358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 BONUS INSIGHTS.xlsx]1  TOOL USE PER!PivotTable1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5">
                        <a:lumMod val="50000"/>
                      </a:schemeClr>
                    </a:solidFill>
                  </a:ln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581441114138665E-2"/>
          <c:y val="0.15931372549019607"/>
          <c:w val="0.94541855888586135"/>
          <c:h val="0.5466255596726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  TOOL USE PER'!$H$7</c:f>
              <c:strCache>
                <c:ptCount val="1"/>
                <c:pt idx="0">
                  <c:v>Sum of TOTAL_SESSIONS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 TOOL USE PER'!$G$8:$G$18</c:f>
              <c:strCache>
                <c:ptCount val="10"/>
                <c:pt idx="0">
                  <c:v>DeepSeek</c:v>
                </c:pt>
                <c:pt idx="1">
                  <c:v>Canva AI</c:v>
                </c:pt>
                <c:pt idx="2">
                  <c:v>Copilot</c:v>
                </c:pt>
                <c:pt idx="3">
                  <c:v>Midjourney</c:v>
                </c:pt>
                <c:pt idx="4">
                  <c:v>Perplexity</c:v>
                </c:pt>
                <c:pt idx="5">
                  <c:v>Grok</c:v>
                </c:pt>
                <c:pt idx="6">
                  <c:v>Firefly</c:v>
                </c:pt>
                <c:pt idx="7">
                  <c:v>Claude</c:v>
                </c:pt>
                <c:pt idx="8">
                  <c:v>ChatGPT</c:v>
                </c:pt>
                <c:pt idx="9">
                  <c:v>Gemini</c:v>
                </c:pt>
              </c:strCache>
            </c:strRef>
          </c:cat>
          <c:val>
            <c:numRef>
              <c:f>'1  TOOL USE PER'!$H$8:$H$18</c:f>
              <c:numCache>
                <c:formatCode>General</c:formatCode>
                <c:ptCount val="10"/>
                <c:pt idx="0">
                  <c:v>808</c:v>
                </c:pt>
                <c:pt idx="1">
                  <c:v>764</c:v>
                </c:pt>
                <c:pt idx="2">
                  <c:v>763</c:v>
                </c:pt>
                <c:pt idx="3">
                  <c:v>761</c:v>
                </c:pt>
                <c:pt idx="4">
                  <c:v>760</c:v>
                </c:pt>
                <c:pt idx="5">
                  <c:v>739</c:v>
                </c:pt>
                <c:pt idx="6">
                  <c:v>739</c:v>
                </c:pt>
                <c:pt idx="7">
                  <c:v>731</c:v>
                </c:pt>
                <c:pt idx="8">
                  <c:v>723</c:v>
                </c:pt>
                <c:pt idx="9">
                  <c:v>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5-41E3-9706-FEA1CFB5A918}"/>
            </c:ext>
          </c:extLst>
        </c:ser>
        <c:ser>
          <c:idx val="1"/>
          <c:order val="1"/>
          <c:tx>
            <c:strRef>
              <c:f>'1  TOOL USE PER'!$I$7</c:f>
              <c:strCache>
                <c:ptCount val="1"/>
                <c:pt idx="0">
                  <c:v>Sum of USE_PERCENTAGE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5">
                          <a:lumMod val="50000"/>
                        </a:schemeClr>
                      </a:solidFill>
                    </a:ln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  TOOL USE PER'!$G$8:$G$18</c:f>
              <c:strCache>
                <c:ptCount val="10"/>
                <c:pt idx="0">
                  <c:v>DeepSeek</c:v>
                </c:pt>
                <c:pt idx="1">
                  <c:v>Canva AI</c:v>
                </c:pt>
                <c:pt idx="2">
                  <c:v>Copilot</c:v>
                </c:pt>
                <c:pt idx="3">
                  <c:v>Midjourney</c:v>
                </c:pt>
                <c:pt idx="4">
                  <c:v>Perplexity</c:v>
                </c:pt>
                <c:pt idx="5">
                  <c:v>Grok</c:v>
                </c:pt>
                <c:pt idx="6">
                  <c:v>Firefly</c:v>
                </c:pt>
                <c:pt idx="7">
                  <c:v>Claude</c:v>
                </c:pt>
                <c:pt idx="8">
                  <c:v>ChatGPT</c:v>
                </c:pt>
                <c:pt idx="9">
                  <c:v>Gemini</c:v>
                </c:pt>
              </c:strCache>
            </c:strRef>
          </c:cat>
          <c:val>
            <c:numRef>
              <c:f>'1  TOOL USE PER'!$I$8:$I$18</c:f>
              <c:numCache>
                <c:formatCode>0%</c:formatCode>
                <c:ptCount val="10"/>
                <c:pt idx="0">
                  <c:v>0.10773333333333333</c:v>
                </c:pt>
                <c:pt idx="1">
                  <c:v>0.10186666666666666</c:v>
                </c:pt>
                <c:pt idx="2">
                  <c:v>0.10173333333333333</c:v>
                </c:pt>
                <c:pt idx="3">
                  <c:v>0.10146666666666666</c:v>
                </c:pt>
                <c:pt idx="4">
                  <c:v>0.10133333333333333</c:v>
                </c:pt>
                <c:pt idx="5">
                  <c:v>9.8533333333333334E-2</c:v>
                </c:pt>
                <c:pt idx="6">
                  <c:v>9.8533333333333334E-2</c:v>
                </c:pt>
                <c:pt idx="7">
                  <c:v>9.746666666666666E-2</c:v>
                </c:pt>
                <c:pt idx="8">
                  <c:v>9.64E-2</c:v>
                </c:pt>
                <c:pt idx="9">
                  <c:v>9.4933333333333328E-2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5-41E3-9706-FEA1CFB5A9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9"/>
        <c:overlap val="-27"/>
        <c:axId val="1471425408"/>
        <c:axId val="1467904176"/>
      </c:barChart>
      <c:catAx>
        <c:axId val="14714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04176"/>
        <c:crosses val="autoZero"/>
        <c:auto val="1"/>
        <c:lblAlgn val="ctr"/>
        <c:lblOffset val="100"/>
        <c:noMultiLvlLbl val="0"/>
      </c:catAx>
      <c:valAx>
        <c:axId val="14679041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714254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7699115044247"/>
          <c:y val="0.20833333333333334"/>
          <c:w val="0.7792069813176008"/>
          <c:h val="0.582700324224177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  PROMPT USE PER'!$B$1</c:f>
              <c:strCache>
                <c:ptCount val="1"/>
                <c:pt idx="0">
                  <c:v>TOTAL_SESSIONS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 PROMPT USE PER'!$A$2:$A$7</c:f>
              <c:strCache>
                <c:ptCount val="6"/>
                <c:pt idx="0">
                  <c:v>Coding</c:v>
                </c:pt>
                <c:pt idx="1">
                  <c:v>Writing</c:v>
                </c:pt>
                <c:pt idx="2">
                  <c:v>Research</c:v>
                </c:pt>
                <c:pt idx="3">
                  <c:v>Business</c:v>
                </c:pt>
                <c:pt idx="4">
                  <c:v>Learning</c:v>
                </c:pt>
                <c:pt idx="5">
                  <c:v>Image Generation</c:v>
                </c:pt>
              </c:strCache>
            </c:strRef>
          </c:cat>
          <c:val>
            <c:numRef>
              <c:f>'2  PROMPT USE PER'!$B$2:$B$7</c:f>
              <c:numCache>
                <c:formatCode>General</c:formatCode>
                <c:ptCount val="6"/>
                <c:pt idx="0">
                  <c:v>3758</c:v>
                </c:pt>
                <c:pt idx="1">
                  <c:v>3032</c:v>
                </c:pt>
                <c:pt idx="2">
                  <c:v>2657</c:v>
                </c:pt>
                <c:pt idx="3">
                  <c:v>2242</c:v>
                </c:pt>
                <c:pt idx="4">
                  <c:v>2187</c:v>
                </c:pt>
                <c:pt idx="5">
                  <c:v>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9-4996-B916-D6A82F58B5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8558640"/>
        <c:axId val="1467840336"/>
      </c:barChart>
      <c:lineChart>
        <c:grouping val="standard"/>
        <c:varyColors val="0"/>
        <c:ser>
          <c:idx val="1"/>
          <c:order val="1"/>
          <c:tx>
            <c:strRef>
              <c:f>'2  PROMPT USE PER'!$C$1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3.1330175646339057E-3"/>
                  <c:y val="2.45098039215686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79-4996-B916-D6A82F58B5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5">
                          <a:lumMod val="50000"/>
                        </a:schemeClr>
                      </a:solidFill>
                    </a:ln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  PROMPT USE PER'!$A$2:$A$7</c:f>
              <c:strCache>
                <c:ptCount val="6"/>
                <c:pt idx="0">
                  <c:v>Coding</c:v>
                </c:pt>
                <c:pt idx="1">
                  <c:v>Writing</c:v>
                </c:pt>
                <c:pt idx="2">
                  <c:v>Research</c:v>
                </c:pt>
                <c:pt idx="3">
                  <c:v>Business</c:v>
                </c:pt>
                <c:pt idx="4">
                  <c:v>Learning</c:v>
                </c:pt>
                <c:pt idx="5">
                  <c:v>Image Generation</c:v>
                </c:pt>
              </c:strCache>
            </c:strRef>
          </c:cat>
          <c:val>
            <c:numRef>
              <c:f>'2  PROMPT USE PER'!$C$2:$C$7</c:f>
              <c:numCache>
                <c:formatCode>0%</c:formatCode>
                <c:ptCount val="6"/>
                <c:pt idx="0">
                  <c:v>0.25053333333333333</c:v>
                </c:pt>
                <c:pt idx="1">
                  <c:v>0.20213333333333333</c:v>
                </c:pt>
                <c:pt idx="2">
                  <c:v>0.17713333333333334</c:v>
                </c:pt>
                <c:pt idx="3">
                  <c:v>0.14946666666666666</c:v>
                </c:pt>
                <c:pt idx="4">
                  <c:v>0.14580000000000001</c:v>
                </c:pt>
                <c:pt idx="5">
                  <c:v>7.4933333333333338E-2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9-4996-B916-D6A82F58B5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565600"/>
        <c:axId val="1467836496"/>
      </c:lineChart>
      <c:catAx>
        <c:axId val="67855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40336"/>
        <c:crosses val="autoZero"/>
        <c:auto val="1"/>
        <c:lblAlgn val="ctr"/>
        <c:lblOffset val="100"/>
        <c:noMultiLvlLbl val="0"/>
      </c:catAx>
      <c:valAx>
        <c:axId val="146784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58640"/>
        <c:crosses val="autoZero"/>
        <c:crossBetween val="between"/>
      </c:valAx>
      <c:valAx>
        <c:axId val="14678364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565600"/>
        <c:crosses val="max"/>
        <c:crossBetween val="between"/>
      </c:valAx>
      <c:catAx>
        <c:axId val="67856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67836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5">
                <a:lumMod val="50000"/>
              </a:schemeClr>
            </a:solidFill>
          </a:ln>
          <a:solidFill>
            <a:schemeClr val="accent5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 BONUS INSIGHTS.xlsx]8  TOP 10 ENGAGED USERS!PivotTable4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bg1"/>
                    </a:solidFill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81243854473943E-2"/>
          <c:y val="6.7901234567901231E-2"/>
          <c:w val="0.98384218289085545"/>
          <c:h val="0.61900262467191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  TOP 10 ENGAGED USERS'!$H$14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'8  TOP 10 ENGAGED USERS'!$G$15:$G$35</c:f>
              <c:multiLvlStrCache>
                <c:ptCount val="10"/>
                <c:lvl>
                  <c:pt idx="0">
                    <c:v>Krishna Gupta</c:v>
                  </c:pt>
                  <c:pt idx="1">
                    <c:v>Venkat Das</c:v>
                  </c:pt>
                  <c:pt idx="2">
                    <c:v>Priya Varma</c:v>
                  </c:pt>
                  <c:pt idx="3">
                    <c:v>Mohan Agarwal</c:v>
                  </c:pt>
                  <c:pt idx="4">
                    <c:v>Manoj Singh</c:v>
                  </c:pt>
                  <c:pt idx="5">
                    <c:v>Swati Singh</c:v>
                  </c:pt>
                  <c:pt idx="6">
                    <c:v>Arjun Desai</c:v>
                  </c:pt>
                  <c:pt idx="7">
                    <c:v>Isha Tiwari</c:v>
                  </c:pt>
                  <c:pt idx="8">
                    <c:v>Kavya Sharma</c:v>
                  </c:pt>
                  <c:pt idx="9">
                    <c:v>Kavya Singh</c:v>
                  </c:pt>
                </c:lvl>
                <c:lvl>
                  <c:pt idx="0">
                    <c:v>U0270</c:v>
                  </c:pt>
                  <c:pt idx="1">
                    <c:v>U0830</c:v>
                  </c:pt>
                  <c:pt idx="2">
                    <c:v>U0330</c:v>
                  </c:pt>
                  <c:pt idx="3">
                    <c:v>U1603</c:v>
                  </c:pt>
                  <c:pt idx="4">
                    <c:v>U0627</c:v>
                  </c:pt>
                  <c:pt idx="5">
                    <c:v>U1545</c:v>
                  </c:pt>
                  <c:pt idx="6">
                    <c:v>U0718</c:v>
                  </c:pt>
                  <c:pt idx="7">
                    <c:v>U2140</c:v>
                  </c:pt>
                  <c:pt idx="8">
                    <c:v>U0502</c:v>
                  </c:pt>
                  <c:pt idx="9">
                    <c:v>U1793</c:v>
                  </c:pt>
                </c:lvl>
              </c:multiLvlStrCache>
            </c:multiLvlStrRef>
          </c:cat>
          <c:val>
            <c:numRef>
              <c:f>'8  TOP 10 ENGAGED USERS'!$H$15:$H$35</c:f>
              <c:numCache>
                <c:formatCode>0.0%</c:formatCode>
                <c:ptCount val="10"/>
                <c:pt idx="0">
                  <c:v>0.12041094556431979</c:v>
                </c:pt>
                <c:pt idx="1">
                  <c:v>0.11052682831823936</c:v>
                </c:pt>
                <c:pt idx="2">
                  <c:v>0.10901743110332067</c:v>
                </c:pt>
                <c:pt idx="3">
                  <c:v>9.841269841269841E-2</c:v>
                </c:pt>
                <c:pt idx="4">
                  <c:v>9.841269841269841E-2</c:v>
                </c:pt>
                <c:pt idx="5">
                  <c:v>9.692277729087545E-2</c:v>
                </c:pt>
                <c:pt idx="6">
                  <c:v>9.2472490018502287E-2</c:v>
                </c:pt>
                <c:pt idx="7">
                  <c:v>9.2121920342779232E-2</c:v>
                </c:pt>
                <c:pt idx="8">
                  <c:v>9.1235758106923748E-2</c:v>
                </c:pt>
                <c:pt idx="9">
                  <c:v>9.0466452429642616E-2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0-4B6E-A201-81FFB8E4D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7"/>
        <c:axId val="1473392736"/>
        <c:axId val="1467898896"/>
      </c:barChart>
      <c:catAx>
        <c:axId val="147339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50000"/>
                    </a:schemeClr>
                  </a:solidFill>
                </a:ln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98896"/>
        <c:crosses val="autoZero"/>
        <c:auto val="1"/>
        <c:lblAlgn val="ctr"/>
        <c:lblOffset val="100"/>
        <c:noMultiLvlLbl val="0"/>
      </c:catAx>
      <c:valAx>
        <c:axId val="1467898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4733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1270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3</xdr:row>
      <xdr:rowOff>76200</xdr:rowOff>
    </xdr:from>
    <xdr:to>
      <xdr:col>21</xdr:col>
      <xdr:colOff>396600</xdr:colOff>
      <xdr:row>37</xdr:row>
      <xdr:rowOff>104280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95E67C8D-806C-408F-73F2-3E94A2961446}"/>
            </a:ext>
          </a:extLst>
        </xdr:cNvPr>
        <xdr:cNvGrpSpPr/>
      </xdr:nvGrpSpPr>
      <xdr:grpSpPr>
        <a:xfrm>
          <a:off x="982980" y="624840"/>
          <a:ext cx="12215220" cy="6246000"/>
          <a:chOff x="807720" y="91440"/>
          <a:chExt cx="12215220" cy="624600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3F8287A8-029C-C0D0-14FA-4977527C001C}"/>
              </a:ext>
            </a:extLst>
          </xdr:cNvPr>
          <xdr:cNvSpPr/>
        </xdr:nvSpPr>
        <xdr:spPr>
          <a:xfrm>
            <a:off x="815340" y="99060"/>
            <a:ext cx="12207600" cy="685800"/>
          </a:xfrm>
          <a:prstGeom prst="rect">
            <a:avLst/>
          </a:prstGeom>
          <a:solidFill>
            <a:schemeClr val="accent5">
              <a:lumMod val="50000"/>
            </a:schemeClr>
          </a:solidFill>
          <a:ln>
            <a:solidFill>
              <a:schemeClr val="accent5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4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BONUS INSIGHTS</a:t>
            </a: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6C98AFAD-11FA-C3A0-00F1-7C54FE699DAE}"/>
              </a:ext>
            </a:extLst>
          </xdr:cNvPr>
          <xdr:cNvSpPr txBox="1"/>
        </xdr:nvSpPr>
        <xdr:spPr>
          <a:xfrm>
            <a:off x="868680" y="281940"/>
            <a:ext cx="937260" cy="228600"/>
          </a:xfrm>
          <a:prstGeom prst="rect">
            <a:avLst/>
          </a:prstGeom>
          <a:noFill/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100" b="1">
                <a:ln>
                  <a:solidFill>
                    <a:schemeClr val="bg1"/>
                  </a:solidFill>
                </a:ln>
                <a:solidFill>
                  <a:schemeClr val="bg1"/>
                </a:solidFill>
              </a:rPr>
              <a:t>PRIORITY - 6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571E2D19-101C-5A57-9570-F2470E426615}"/>
              </a:ext>
            </a:extLst>
          </xdr:cNvPr>
          <xdr:cNvSpPr/>
        </xdr:nvSpPr>
        <xdr:spPr>
          <a:xfrm>
            <a:off x="807720" y="91440"/>
            <a:ext cx="12207600" cy="6246000"/>
          </a:xfrm>
          <a:prstGeom prst="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0424EA0-00DB-537B-88E1-ED090F7DFCC3}"/>
              </a:ext>
            </a:extLst>
          </xdr:cNvPr>
          <xdr:cNvSpPr/>
        </xdr:nvSpPr>
        <xdr:spPr>
          <a:xfrm>
            <a:off x="830580" y="807720"/>
            <a:ext cx="2987040" cy="101346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10C25BB9-DA80-481C-8564-F13E3D6C631C}"/>
              </a:ext>
            </a:extLst>
          </xdr:cNvPr>
          <xdr:cNvSpPr/>
        </xdr:nvSpPr>
        <xdr:spPr>
          <a:xfrm>
            <a:off x="9966960" y="807720"/>
            <a:ext cx="3025140" cy="101346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EC8F9CA-3849-454D-9196-9E986FFD6424}"/>
              </a:ext>
            </a:extLst>
          </xdr:cNvPr>
          <xdr:cNvSpPr/>
        </xdr:nvSpPr>
        <xdr:spPr>
          <a:xfrm>
            <a:off x="6921500" y="807720"/>
            <a:ext cx="3022600" cy="101346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1C87403-4BC1-43C6-A050-52DE06572030}"/>
              </a:ext>
            </a:extLst>
          </xdr:cNvPr>
          <xdr:cNvSpPr/>
        </xdr:nvSpPr>
        <xdr:spPr>
          <a:xfrm>
            <a:off x="3837940" y="807720"/>
            <a:ext cx="3058160" cy="1013460"/>
          </a:xfrm>
          <a:prstGeom prst="rect">
            <a:avLst/>
          </a:prstGeom>
          <a:solidFill>
            <a:schemeClr val="accent5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1335F73-C21C-6E34-03E6-12D9E553AC52}"/>
              </a:ext>
            </a:extLst>
          </xdr:cNvPr>
          <xdr:cNvSpPr txBox="1"/>
        </xdr:nvSpPr>
        <xdr:spPr>
          <a:xfrm>
            <a:off x="1097280" y="807720"/>
            <a:ext cx="26898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/>
              <a:t>AVG PROMPTS</a:t>
            </a:r>
            <a:r>
              <a:rPr lang="en-IN" sz="1600" b="1" baseline="0"/>
              <a:t> PER SESSION</a:t>
            </a:r>
            <a:endParaRPr lang="en-IN" sz="1600" b="1"/>
          </a:p>
        </xdr:txBody>
      </xdr:sp>
      <xdr:sp macro="" textlink="'3.avg pro per s'!B5">
        <xdr:nvSpPr>
          <xdr:cNvPr id="13" name="TextBox 12">
            <a:extLst>
              <a:ext uri="{FF2B5EF4-FFF2-40B4-BE49-F238E27FC236}">
                <a16:creationId xmlns:a16="http://schemas.microsoft.com/office/drawing/2014/main" id="{B12BD299-B482-4043-8160-731A8C2CA002}"/>
              </a:ext>
            </a:extLst>
          </xdr:cNvPr>
          <xdr:cNvSpPr txBox="1"/>
        </xdr:nvSpPr>
        <xdr:spPr>
          <a:xfrm>
            <a:off x="1950720" y="1463040"/>
            <a:ext cx="746760" cy="304800"/>
          </a:xfrm>
          <a:prstGeom prst="rect">
            <a:avLst/>
          </a:prstGeom>
          <a:noFill/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D45652C-5A4B-4899-858A-FB659DD9373A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pPr algn="ctr"/>
              <a:t>2.3</a:t>
            </a:fld>
            <a:endParaRPr lang="en-IN" sz="2000"/>
          </a:p>
        </xdr:txBody>
      </xdr:sp>
      <xdr:cxnSp macro="">
        <xdr:nvCxnSpPr>
          <xdr:cNvPr id="15" name="Connector: Elbow 14">
            <a:extLst>
              <a:ext uri="{FF2B5EF4-FFF2-40B4-BE49-F238E27FC236}">
                <a16:creationId xmlns:a16="http://schemas.microsoft.com/office/drawing/2014/main" id="{A031EC46-BA4E-5E7F-FB2A-856A1AEB5405}"/>
              </a:ext>
            </a:extLst>
          </xdr:cNvPr>
          <xdr:cNvCxnSpPr/>
        </xdr:nvCxnSpPr>
        <xdr:spPr>
          <a:xfrm rot="16200000" flipH="1">
            <a:off x="2179320" y="1207770"/>
            <a:ext cx="289560" cy="99060"/>
          </a:xfrm>
          <a:prstGeom prst="bentConnector3">
            <a:avLst>
              <a:gd name="adj1" fmla="val 47368"/>
            </a:avLst>
          </a:prstGeom>
          <a:ln>
            <a:solidFill>
              <a:schemeClr val="accent5">
                <a:lumMod val="50000"/>
              </a:schemeClr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9B60E8E7-2185-4ACD-8136-5FFC40DDE2ED}"/>
              </a:ext>
            </a:extLst>
          </xdr:cNvPr>
          <xdr:cNvSpPr txBox="1"/>
        </xdr:nvSpPr>
        <xdr:spPr>
          <a:xfrm>
            <a:off x="4224020" y="830580"/>
            <a:ext cx="24358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/>
              <a:t>AVG TOKEN</a:t>
            </a:r>
            <a:r>
              <a:rPr lang="en-IN" sz="1600" b="1" baseline="0"/>
              <a:t> PER SESSION</a:t>
            </a:r>
            <a:endParaRPr lang="en-IN" sz="1600" b="1"/>
          </a:p>
        </xdr:txBody>
      </xdr:sp>
      <xdr:sp macro="" textlink="'4  AVG TOKEN PER SESSION'!A7">
        <xdr:nvSpPr>
          <xdr:cNvPr id="19" name="TextBox 18">
            <a:extLst>
              <a:ext uri="{FF2B5EF4-FFF2-40B4-BE49-F238E27FC236}">
                <a16:creationId xmlns:a16="http://schemas.microsoft.com/office/drawing/2014/main" id="{AD441792-60D8-4A3E-97EE-38C89C0668E6}"/>
              </a:ext>
            </a:extLst>
          </xdr:cNvPr>
          <xdr:cNvSpPr txBox="1"/>
        </xdr:nvSpPr>
        <xdr:spPr>
          <a:xfrm>
            <a:off x="4993640" y="1463040"/>
            <a:ext cx="746760" cy="304800"/>
          </a:xfrm>
          <a:prstGeom prst="rect">
            <a:avLst/>
          </a:prstGeom>
          <a:noFill/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7176AE6-C14B-402A-9832-B383671DFA1D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pPr algn="ctr"/>
              <a:t>360</a:t>
            </a:fld>
            <a:endParaRPr lang="en-US" sz="20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cxnSp macro="">
        <xdr:nvCxnSpPr>
          <xdr:cNvPr id="20" name="Connector: Elbow 19">
            <a:extLst>
              <a:ext uri="{FF2B5EF4-FFF2-40B4-BE49-F238E27FC236}">
                <a16:creationId xmlns:a16="http://schemas.microsoft.com/office/drawing/2014/main" id="{069F1B48-FAB9-4798-B337-CE2B1F42412A}"/>
              </a:ext>
            </a:extLst>
          </xdr:cNvPr>
          <xdr:cNvCxnSpPr/>
        </xdr:nvCxnSpPr>
        <xdr:spPr>
          <a:xfrm rot="16200000" flipH="1">
            <a:off x="5222240" y="1230630"/>
            <a:ext cx="289560" cy="99060"/>
          </a:xfrm>
          <a:prstGeom prst="bentConnector3">
            <a:avLst>
              <a:gd name="adj1" fmla="val 47368"/>
            </a:avLst>
          </a:prstGeom>
          <a:ln>
            <a:solidFill>
              <a:schemeClr val="accent5">
                <a:lumMod val="50000"/>
              </a:schemeClr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7F9FCBE9-6050-411A-8E1E-55C19B685164}"/>
              </a:ext>
            </a:extLst>
          </xdr:cNvPr>
          <xdr:cNvSpPr txBox="1"/>
        </xdr:nvSpPr>
        <xdr:spPr>
          <a:xfrm>
            <a:off x="7556500" y="838200"/>
            <a:ext cx="19989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/>
              <a:t>LONGEST</a:t>
            </a:r>
            <a:r>
              <a:rPr lang="en-IN" sz="1600" b="1" baseline="0"/>
              <a:t> SESSION</a:t>
            </a:r>
            <a:endParaRPr lang="en-IN" sz="1600" b="1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78ABD622-B32B-455B-833A-C3406E8D975A}"/>
              </a:ext>
            </a:extLst>
          </xdr:cNvPr>
          <xdr:cNvSpPr txBox="1"/>
        </xdr:nvSpPr>
        <xdr:spPr>
          <a:xfrm>
            <a:off x="7899400" y="1470660"/>
            <a:ext cx="1066800" cy="304800"/>
          </a:xfrm>
          <a:prstGeom prst="rect">
            <a:avLst/>
          </a:prstGeom>
          <a:noFill/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t>8 Hour</a:t>
            </a:r>
          </a:p>
        </xdr:txBody>
      </xdr:sp>
      <xdr:cxnSp macro="">
        <xdr:nvCxnSpPr>
          <xdr:cNvPr id="34" name="Connector: Elbow 33">
            <a:extLst>
              <a:ext uri="{FF2B5EF4-FFF2-40B4-BE49-F238E27FC236}">
                <a16:creationId xmlns:a16="http://schemas.microsoft.com/office/drawing/2014/main" id="{C270D2E9-D647-430D-973A-9132F8E56C4E}"/>
              </a:ext>
            </a:extLst>
          </xdr:cNvPr>
          <xdr:cNvCxnSpPr/>
        </xdr:nvCxnSpPr>
        <xdr:spPr>
          <a:xfrm rot="16200000" flipH="1">
            <a:off x="8288020" y="1223010"/>
            <a:ext cx="289560" cy="99060"/>
          </a:xfrm>
          <a:prstGeom prst="bentConnector3">
            <a:avLst>
              <a:gd name="adj1" fmla="val 47368"/>
            </a:avLst>
          </a:prstGeom>
          <a:ln>
            <a:solidFill>
              <a:schemeClr val="accent5">
                <a:lumMod val="50000"/>
              </a:schemeClr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630B9356-2948-4946-9BC6-59C8E05DD619}"/>
              </a:ext>
            </a:extLst>
          </xdr:cNvPr>
          <xdr:cNvSpPr txBox="1"/>
        </xdr:nvSpPr>
        <xdr:spPr>
          <a:xfrm>
            <a:off x="10500360" y="853440"/>
            <a:ext cx="195834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b="1"/>
              <a:t>SHORTEST</a:t>
            </a:r>
            <a:r>
              <a:rPr lang="en-IN" sz="1600" b="1" baseline="0"/>
              <a:t> SESSION</a:t>
            </a:r>
            <a:endParaRPr lang="en-IN" sz="1600" b="1"/>
          </a:p>
        </xdr:txBody>
      </xdr:sp>
      <xdr:cxnSp macro="">
        <xdr:nvCxnSpPr>
          <xdr:cNvPr id="37" name="Connector: Elbow 36">
            <a:extLst>
              <a:ext uri="{FF2B5EF4-FFF2-40B4-BE49-F238E27FC236}">
                <a16:creationId xmlns:a16="http://schemas.microsoft.com/office/drawing/2014/main" id="{C6CC384F-A91C-4F25-87F8-2EC1717A9EFB}"/>
              </a:ext>
            </a:extLst>
          </xdr:cNvPr>
          <xdr:cNvCxnSpPr/>
        </xdr:nvCxnSpPr>
        <xdr:spPr>
          <a:xfrm rot="16200000" flipH="1">
            <a:off x="11334750" y="1230630"/>
            <a:ext cx="289560" cy="99060"/>
          </a:xfrm>
          <a:prstGeom prst="bentConnector3">
            <a:avLst>
              <a:gd name="adj1" fmla="val 47368"/>
            </a:avLst>
          </a:prstGeom>
          <a:ln>
            <a:solidFill>
              <a:schemeClr val="accent5">
                <a:lumMod val="50000"/>
              </a:schemeClr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'10 SHORTEST SESSION'!D5">
        <xdr:nvSpPr>
          <xdr:cNvPr id="38" name="TextBox 37">
            <a:extLst>
              <a:ext uri="{FF2B5EF4-FFF2-40B4-BE49-F238E27FC236}">
                <a16:creationId xmlns:a16="http://schemas.microsoft.com/office/drawing/2014/main" id="{1BC30377-46CE-4479-B3A8-5ED4A24EECDE}"/>
              </a:ext>
            </a:extLst>
          </xdr:cNvPr>
          <xdr:cNvSpPr txBox="1"/>
        </xdr:nvSpPr>
        <xdr:spPr>
          <a:xfrm>
            <a:off x="10740390" y="1478280"/>
            <a:ext cx="1478280" cy="304800"/>
          </a:xfrm>
          <a:prstGeom prst="rect">
            <a:avLst/>
          </a:prstGeom>
          <a:noFill/>
          <a:ln w="9525" cmpd="sng">
            <a:solidFill>
              <a:schemeClr val="accent5">
                <a:lumMod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4F6ACAA-6909-4508-9B50-A77AD1FDD613}" type="TxLink">
              <a:rPr lang="en-US" sz="2000" b="0" i="0" u="none" strike="noStrike">
                <a:solidFill>
                  <a:srgbClr val="000000"/>
                </a:solidFill>
                <a:latin typeface="Aptos Narrow"/>
              </a:rPr>
              <a:pPr algn="ctr"/>
              <a:t>5 Minutes</a:t>
            </a:fld>
            <a:endParaRPr lang="en-US" sz="20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graphicFrame macro="">
        <xdr:nvGraphicFramePr>
          <xdr:cNvPr id="39" name="Chart 38">
            <a:extLst>
              <a:ext uri="{FF2B5EF4-FFF2-40B4-BE49-F238E27FC236}">
                <a16:creationId xmlns:a16="http://schemas.microsoft.com/office/drawing/2014/main" id="{286502A7-439A-4C4A-A075-683B39BB2075}"/>
              </a:ext>
            </a:extLst>
          </xdr:cNvPr>
          <xdr:cNvGraphicFramePr>
            <a:graphicFrameLocks/>
          </xdr:cNvGraphicFramePr>
        </xdr:nvGraphicFramePr>
        <xdr:xfrm>
          <a:off x="838200" y="1851660"/>
          <a:ext cx="3962400" cy="23774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A012F6D4-A846-494F-AD03-4A5E4566C72E}"/>
              </a:ext>
            </a:extLst>
          </xdr:cNvPr>
          <xdr:cNvSpPr txBox="1"/>
        </xdr:nvSpPr>
        <xdr:spPr>
          <a:xfrm>
            <a:off x="2084070" y="1859280"/>
            <a:ext cx="16230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 u="sng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TOOL x PROMPT</a:t>
            </a:r>
            <a:r>
              <a:rPr lang="en-IN" sz="1600" u="sng" baseline="0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 </a:t>
            </a:r>
            <a:endParaRPr lang="en-IN" sz="1600" u="sng">
              <a:ln>
                <a:solidFill>
                  <a:schemeClr val="accent5">
                    <a:lumMod val="50000"/>
                  </a:schemeClr>
                </a:solidFill>
              </a:ln>
            </a:endParaRPr>
          </a:p>
        </xdr:txBody>
      </xdr:sp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58D73BDE-AEB6-5DF1-3093-6F3AF691EB87}"/>
              </a:ext>
            </a:extLst>
          </xdr:cNvPr>
          <xdr:cNvGrpSpPr/>
        </xdr:nvGrpSpPr>
        <xdr:grpSpPr>
          <a:xfrm>
            <a:off x="4831080" y="1821180"/>
            <a:ext cx="4069080" cy="2407920"/>
            <a:chOff x="4945380" y="1836420"/>
            <a:chExt cx="4090860" cy="2407920"/>
          </a:xfrm>
        </xdr:grpSpPr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0543F426-7A47-4DC5-9C90-649F8871F199}"/>
                </a:ext>
              </a:extLst>
            </xdr:cNvPr>
            <xdr:cNvGraphicFramePr>
              <a:graphicFrameLocks/>
            </xdr:cNvGraphicFramePr>
          </xdr:nvGraphicFramePr>
          <xdr:xfrm>
            <a:off x="4945380" y="1866900"/>
            <a:ext cx="4090860" cy="2376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8AA68365-C32C-52BF-7B37-3496D8B16B8F}"/>
                </a:ext>
              </a:extLst>
            </xdr:cNvPr>
            <xdr:cNvCxnSpPr/>
          </xdr:nvCxnSpPr>
          <xdr:spPr>
            <a:xfrm flipH="1">
              <a:off x="6179820" y="3032760"/>
              <a:ext cx="0" cy="121158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8" name="Straight Connector 47">
              <a:extLst>
                <a:ext uri="{FF2B5EF4-FFF2-40B4-BE49-F238E27FC236}">
                  <a16:creationId xmlns:a16="http://schemas.microsoft.com/office/drawing/2014/main" id="{B3976041-3951-4EAB-A356-C0679BE26A52}"/>
                </a:ext>
              </a:extLst>
            </xdr:cNvPr>
            <xdr:cNvCxnSpPr/>
          </xdr:nvCxnSpPr>
          <xdr:spPr>
            <a:xfrm flipH="1">
              <a:off x="6926580" y="3025140"/>
              <a:ext cx="0" cy="121158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Connector 48">
              <a:extLst>
                <a:ext uri="{FF2B5EF4-FFF2-40B4-BE49-F238E27FC236}">
                  <a16:creationId xmlns:a16="http://schemas.microsoft.com/office/drawing/2014/main" id="{8CEA06E1-2439-4F4D-9626-10DC328A8EDC}"/>
                </a:ext>
              </a:extLst>
            </xdr:cNvPr>
            <xdr:cNvCxnSpPr/>
          </xdr:nvCxnSpPr>
          <xdr:spPr>
            <a:xfrm flipH="1">
              <a:off x="7437120" y="3025140"/>
              <a:ext cx="0" cy="121158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6804F35F-FBCD-4766-BE93-E5E7CB774BC2}"/>
                </a:ext>
              </a:extLst>
            </xdr:cNvPr>
            <xdr:cNvCxnSpPr/>
          </xdr:nvCxnSpPr>
          <xdr:spPr>
            <a:xfrm flipH="1">
              <a:off x="7780020" y="3025140"/>
              <a:ext cx="0" cy="121158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C9854249-1E10-4E8F-9653-3EBF45C2F088}"/>
                </a:ext>
              </a:extLst>
            </xdr:cNvPr>
            <xdr:cNvCxnSpPr/>
          </xdr:nvCxnSpPr>
          <xdr:spPr>
            <a:xfrm flipH="1">
              <a:off x="8237220" y="3025140"/>
              <a:ext cx="0" cy="121158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68E7842F-1133-497F-8198-F842C0859581}"/>
                </a:ext>
              </a:extLst>
            </xdr:cNvPr>
            <xdr:cNvCxnSpPr/>
          </xdr:nvCxnSpPr>
          <xdr:spPr>
            <a:xfrm flipH="1">
              <a:off x="8610600" y="3032760"/>
              <a:ext cx="0" cy="121158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7F8E1424-8F04-40DE-B8A1-4DC7C9F2E1E8}"/>
                </a:ext>
              </a:extLst>
            </xdr:cNvPr>
            <xdr:cNvCxnSpPr/>
          </xdr:nvCxnSpPr>
          <xdr:spPr>
            <a:xfrm>
              <a:off x="4975860" y="3009900"/>
              <a:ext cx="4032000" cy="0"/>
            </a:xfrm>
            <a:prstGeom prst="line">
              <a:avLst/>
            </a:prstGeom>
            <a:ln>
              <a:solidFill>
                <a:schemeClr val="accent5">
                  <a:lumMod val="50000"/>
                </a:schemeClr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5EF8036A-872F-4CE2-B482-F09D2754DE0C}"/>
                </a:ext>
              </a:extLst>
            </xdr:cNvPr>
            <xdr:cNvSpPr txBox="1"/>
          </xdr:nvSpPr>
          <xdr:spPr>
            <a:xfrm>
              <a:off x="6045930" y="1836420"/>
              <a:ext cx="1889760" cy="32004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IN" sz="1400" u="sng">
                  <a:ln>
                    <a:solidFill>
                      <a:schemeClr val="accent5">
                        <a:lumMod val="50000"/>
                      </a:schemeClr>
                    </a:solidFill>
                  </a:ln>
                </a:rPr>
                <a:t>TOOL x PROFESSION</a:t>
              </a:r>
            </a:p>
          </xdr:txBody>
        </xdr:sp>
      </xdr:grpSp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FFD04933-6145-4D77-9212-9ABCB18EBDC8}"/>
              </a:ext>
            </a:extLst>
          </xdr:cNvPr>
          <xdr:cNvGraphicFramePr>
            <a:graphicFrameLocks/>
          </xdr:cNvGraphicFramePr>
        </xdr:nvGraphicFramePr>
        <xdr:xfrm>
          <a:off x="8934450" y="1851660"/>
          <a:ext cx="4052760" cy="23850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6DC32F29-B769-4176-9E15-31A0AED91073}"/>
              </a:ext>
            </a:extLst>
          </xdr:cNvPr>
          <xdr:cNvSpPr txBox="1"/>
        </xdr:nvSpPr>
        <xdr:spPr>
          <a:xfrm>
            <a:off x="10225500" y="1828800"/>
            <a:ext cx="147828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u="sng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TOOL x CITY</a:t>
            </a:r>
          </a:p>
        </xdr:txBody>
      </xdr: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DE4B4B1A-6BC5-4AE3-AF7E-590A3A7A8939}"/>
              </a:ext>
            </a:extLst>
          </xdr:cNvPr>
          <xdr:cNvGraphicFramePr>
            <a:graphicFrameLocks/>
          </xdr:cNvGraphicFramePr>
        </xdr:nvGraphicFramePr>
        <xdr:xfrm>
          <a:off x="838200" y="4251960"/>
          <a:ext cx="3963600" cy="2072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169BBBE-89E8-4368-811D-8F72771A875F}"/>
              </a:ext>
            </a:extLst>
          </xdr:cNvPr>
          <xdr:cNvSpPr txBox="1"/>
        </xdr:nvSpPr>
        <xdr:spPr>
          <a:xfrm>
            <a:off x="2008470" y="4229100"/>
            <a:ext cx="16230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u="sng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TOOL</a:t>
            </a:r>
            <a:r>
              <a:rPr lang="en-IN" sz="1400" u="sng" baseline="0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 x SESSION</a:t>
            </a:r>
            <a:endParaRPr lang="en-IN" sz="1400" u="sng">
              <a:ln>
                <a:solidFill>
                  <a:schemeClr val="accent5">
                    <a:lumMod val="50000"/>
                  </a:schemeClr>
                </a:solidFill>
              </a:ln>
            </a:endParaRPr>
          </a:p>
        </xdr:txBody>
      </xdr:sp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2F76716-0465-484C-A626-585AC8970005}"/>
              </a:ext>
            </a:extLst>
          </xdr:cNvPr>
          <xdr:cNvGraphicFramePr>
            <a:graphicFrameLocks/>
          </xdr:cNvGraphicFramePr>
        </xdr:nvGraphicFramePr>
        <xdr:xfrm>
          <a:off x="8934030" y="4259580"/>
          <a:ext cx="4053600" cy="2072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2E496864-8E0D-489A-B25A-3AB402869A8C}"/>
              </a:ext>
            </a:extLst>
          </xdr:cNvPr>
          <xdr:cNvSpPr txBox="1"/>
        </xdr:nvSpPr>
        <xdr:spPr>
          <a:xfrm>
            <a:off x="10149300" y="4267200"/>
            <a:ext cx="162306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u="sng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PROMPT USING PER</a:t>
            </a:r>
          </a:p>
        </xdr:txBody>
      </xdr:sp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18D94071-9431-4ABE-BDEE-DFB71B44DBA4}"/>
              </a:ext>
            </a:extLst>
          </xdr:cNvPr>
          <xdr:cNvGraphicFramePr>
            <a:graphicFrameLocks/>
          </xdr:cNvGraphicFramePr>
        </xdr:nvGraphicFramePr>
        <xdr:xfrm>
          <a:off x="4831080" y="4259580"/>
          <a:ext cx="4068000" cy="2072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5A1FBF7-4567-42F4-B379-7E56173CA169}"/>
              </a:ext>
            </a:extLst>
          </xdr:cNvPr>
          <xdr:cNvSpPr txBox="1"/>
        </xdr:nvSpPr>
        <xdr:spPr>
          <a:xfrm>
            <a:off x="5908770" y="4221480"/>
            <a:ext cx="2141220" cy="3200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400" u="sng">
                <a:ln>
                  <a:solidFill>
                    <a:schemeClr val="accent5">
                      <a:lumMod val="50000"/>
                    </a:schemeClr>
                  </a:solidFill>
                </a:ln>
              </a:rPr>
              <a:t>TOP 10 ENGAGED USERS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35.457919560184" createdVersion="8" refreshedVersion="8" minRefreshableVersion="3" recordCount="6" xr:uid="{4CA4315D-EC67-4DBE-A4FF-3EC996304871}">
  <cacheSource type="worksheet">
    <worksheetSource name="_5__TOOL_X_PROMPT_CAT"/>
  </cacheSource>
  <cacheFields count="9">
    <cacheField name="TOOL_NAME" numFmtId="0">
      <sharedItems count="4">
        <s v="DeepSeek"/>
        <s v="Canva AI"/>
        <s v="ChatGPT"/>
        <s v="Perplexity"/>
      </sharedItems>
    </cacheField>
    <cacheField name="CATEGORY" numFmtId="0">
      <sharedItems count="6">
        <s v="Coding"/>
        <s v="Research"/>
        <s v="Writing"/>
        <s v="Business"/>
        <s v="Learning"/>
        <s v="Image Generation"/>
      </sharedItems>
    </cacheField>
    <cacheField name="TOTAL_USERS" numFmtId="0">
      <sharedItems containsSemiMixedTypes="0" containsString="0" containsNumber="1" containsInteger="1" minValue="127" maxValue="421"/>
    </cacheField>
    <cacheField name="TOTAL_PROMPTS" numFmtId="0">
      <sharedItems containsSemiMixedTypes="0" containsString="0" containsNumber="1" containsInteger="1" minValue="127" maxValue="421"/>
    </cacheField>
    <cacheField name="TOTAL_SESSIONS" numFmtId="0">
      <sharedItems containsSemiMixedTypes="0" containsString="0" containsNumber="1" containsInteger="1" minValue="108" maxValue="327"/>
    </cacheField>
    <cacheField name="TOTAL_TOKEN_USED" numFmtId="0">
      <sharedItems containsSemiMixedTypes="0" containsString="0" containsNumber="1" containsInteger="1" minValue="23054" maxValue="202339"/>
    </cacheField>
    <cacheField name="TOTAL_DAYS" numFmtId="0">
      <sharedItems containsSemiMixedTypes="0" containsString="0" containsNumber="1" containsInteger="1" minValue="99" maxValue="251"/>
    </cacheField>
    <cacheField name="TOTAL SCORE" numFmtId="0">
      <sharedItems containsSemiMixedTypes="0" containsString="0" containsNumber="1" containsInteger="1" minValue="23515" maxValue="203759"/>
    </cacheField>
    <cacheField name="PER" numFmtId="10">
      <sharedItems containsSemiMixedTypes="0" containsString="0" containsNumber="1" minValue="7.5023768959334339E-2" maxValue="0.650085823490750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35.466934374999" createdVersion="8" refreshedVersion="8" minRefreshableVersion="3" recordCount="10" xr:uid="{D617ABAF-7B2C-4EB5-87C7-E0BC74C0B5A3}">
  <cacheSource type="worksheet">
    <worksheetSource name="_6__TOOL_X_PROFESSION"/>
  </cacheSource>
  <cacheFields count="9">
    <cacheField name="TOOL_NAME" numFmtId="0">
      <sharedItems count="7">
        <s v="Claude"/>
        <s v="DeepSeek"/>
        <s v="Midjourney"/>
        <s v="Firefly"/>
        <s v="ChatGPT"/>
        <s v="Copilot"/>
        <s v="Canva AI"/>
      </sharedItems>
    </cacheField>
    <cacheField name="PROFESSION" numFmtId="0">
      <sharedItems count="10">
        <s v="Product Manager"/>
        <s v="Content Writer"/>
        <s v="Legal Advisor"/>
        <s v="Strategy Manager"/>
        <s v="Procurement Officer"/>
        <s v="QA Engineer"/>
        <s v="CIO"/>
        <s v="ML Engineer"/>
        <s v="DevOps"/>
        <s v="Data Analyst"/>
      </sharedItems>
    </cacheField>
    <cacheField name="TOTAL_USERS" numFmtId="0">
      <sharedItems containsSemiMixedTypes="0" containsString="0" containsNumber="1" containsInteger="1" minValue="16" maxValue="23"/>
    </cacheField>
    <cacheField name="TOTAL_PROMPTS" numFmtId="0">
      <sharedItems containsSemiMixedTypes="0" containsString="0" containsNumber="1" containsInteger="1" minValue="51" maxValue="77"/>
    </cacheField>
    <cacheField name="TOTAL_SESSIONS" numFmtId="0">
      <sharedItems containsSemiMixedTypes="0" containsString="0" containsNumber="1" containsInteger="1" minValue="20" maxValue="28"/>
    </cacheField>
    <cacheField name="TOTAL_TOKEN_USED" numFmtId="0">
      <sharedItems containsSemiMixedTypes="0" containsString="0" containsNumber="1" containsInteger="1" minValue="19609" maxValue="27107"/>
    </cacheField>
    <cacheField name="TOTAL_DAYS" numFmtId="0">
      <sharedItems containsSemiMixedTypes="0" containsString="0" containsNumber="1" containsInteger="1" minValue="19" maxValue="28"/>
    </cacheField>
    <cacheField name="total score " numFmtId="0">
      <sharedItems containsSemiMixedTypes="0" containsString="0" containsNumber="1" containsInteger="1" minValue="19721" maxValue="27263"/>
    </cacheField>
    <cacheField name="per " numFmtId="165">
      <sharedItems containsSemiMixedTypes="0" containsString="0" containsNumber="1" minValue="8.8842937975276606E-2" maxValue="0.12281958409918189"/>
    </cacheField>
  </cacheFields>
  <extLst>
    <ext xmlns:x14="http://schemas.microsoft.com/office/spreadsheetml/2009/9/main" uri="{725AE2AE-9491-48be-B2B4-4EB974FC3084}">
      <x14:pivotCacheDefinition pivotCacheId="24914038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35.476264467594" createdVersion="8" refreshedVersion="8" minRefreshableVersion="3" recordCount="10" xr:uid="{C332C02C-7B79-41DF-9599-CA41A7D233F1}">
  <cacheSource type="worksheet">
    <worksheetSource name="_7__TOOL_X_CITY"/>
  </cacheSource>
  <cacheFields count="9">
    <cacheField name="TOOL_NAME" numFmtId="0">
      <sharedItems count="6">
        <s v="Copilot"/>
        <s v="DeepSeek"/>
        <s v="ChatGPT"/>
        <s v="Midjourney"/>
        <s v="Grok"/>
        <s v="Perplexity"/>
      </sharedItems>
    </cacheField>
    <cacheField name="CITY" numFmtId="0">
      <sharedItems count="10">
        <s v="Vadodara"/>
        <s v="Indore"/>
        <s v="Vijayawada"/>
        <s v="Nagpur"/>
        <s v="Faridabad"/>
        <s v="Ahmedabad"/>
        <s v="Delhi"/>
        <s v="Tiruppur"/>
        <s v="Madurai"/>
        <s v="Ghaziabad"/>
      </sharedItems>
    </cacheField>
    <cacheField name="TOTAL_USERS" numFmtId="0">
      <sharedItems containsSemiMixedTypes="0" containsString="0" containsNumber="1" containsInteger="1" minValue="18" maxValue="34"/>
    </cacheField>
    <cacheField name="TOTAL_PROMPTS" numFmtId="0">
      <sharedItems containsSemiMixedTypes="0" containsString="0" containsNumber="1" containsInteger="1" minValue="64" maxValue="98"/>
    </cacheField>
    <cacheField name="TOTAL_SESSIONS" numFmtId="0">
      <sharedItems containsSemiMixedTypes="0" containsString="0" containsNumber="1" containsInteger="1" minValue="20" maxValue="40"/>
    </cacheField>
    <cacheField name="TOTAL_TOKEN_USED" numFmtId="0">
      <sharedItems containsSemiMixedTypes="0" containsString="0" containsNumber="1" containsInteger="1" minValue="25022" maxValue="35110"/>
    </cacheField>
    <cacheField name="TOTAL_DAYS" numFmtId="0">
      <sharedItems containsSemiMixedTypes="0" containsString="0" containsNumber="1" containsInteger="1" minValue="20" maxValue="39"/>
    </cacheField>
    <cacheField name="TOTAL SCORE " numFmtId="0">
      <sharedItems containsSemiMixedTypes="0" containsString="0" containsNumber="1" containsInteger="1" minValue="25144" maxValue="35317"/>
    </cacheField>
    <cacheField name="PER" numFmtId="10">
      <sharedItems containsSemiMixedTypes="0" containsString="0" containsNumber="1" minValue="8.919981268890749E-2" maxValue="0.125289126023470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35.624500694445" createdVersion="8" refreshedVersion="8" minRefreshableVersion="3" recordCount="10" xr:uid="{F17C4564-8B95-47ED-A8F6-B787E9D44848}">
  <cacheSource type="worksheet">
    <worksheetSource name="_1__TOOL_USE_PER"/>
  </cacheSource>
  <cacheFields count="4">
    <cacheField name="TOOL_ID" numFmtId="0">
      <sharedItems/>
    </cacheField>
    <cacheField name="TOOL_NAME" numFmtId="0">
      <sharedItems count="10">
        <s v="DeepSeek"/>
        <s v="Canva AI"/>
        <s v="Copilot"/>
        <s v="Midjourney"/>
        <s v="Perplexity"/>
        <s v="Grok"/>
        <s v="Firefly"/>
        <s v="Claude"/>
        <s v="ChatGPT"/>
        <s v="Gemini"/>
      </sharedItems>
    </cacheField>
    <cacheField name="TOTAL_SESSIONS" numFmtId="0">
      <sharedItems containsSemiMixedTypes="0" containsString="0" containsNumber="1" containsInteger="1" minValue="712" maxValue="808"/>
    </cacheField>
    <cacheField name="USE_PERCENTAGE" numFmtId="10">
      <sharedItems containsSemiMixedTypes="0" containsString="0" containsNumber="1" minValue="9.4933333333333328E-2" maxValue="0.10773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" refreshedDate="46235.639843171295" createdVersion="8" refreshedVersion="8" minRefreshableVersion="3" recordCount="10" xr:uid="{47BAD654-5151-4177-9F52-7DD3F6EF2776}">
  <cacheSource type="worksheet">
    <worksheetSource name="_8__TOP_10_ENGAGED_USERS"/>
  </cacheSource>
  <cacheFields count="11">
    <cacheField name="USER_ID" numFmtId="0">
      <sharedItems count="10">
        <s v="U0270"/>
        <s v="U0830"/>
        <s v="U0330"/>
        <s v="U0627"/>
        <s v="U1603"/>
        <s v="U1545"/>
        <s v="U0718"/>
        <s v="U2140"/>
        <s v="U0502"/>
        <s v="U1793"/>
      </sharedItems>
    </cacheField>
    <cacheField name="USER_NAME" numFmtId="0">
      <sharedItems count="10">
        <s v="Krishna Gupta"/>
        <s v="Venkat Das"/>
        <s v="Priya Varma"/>
        <s v="Manoj Singh"/>
        <s v="Mohan Agarwal"/>
        <s v="Swati Singh"/>
        <s v="Arjun Desai"/>
        <s v="Isha Tiwari"/>
        <s v="Kavya Sharma"/>
        <s v="Kavya Singh"/>
      </sharedItems>
    </cacheField>
    <cacheField name="CITY" numFmtId="0">
      <sharedItems count="8">
        <s v="Madurai"/>
        <s v="Ludhiana"/>
        <s v="Jaipur"/>
        <s v="Nashik"/>
        <s v="Lucknow"/>
        <s v="Indore"/>
        <s v="Mumbai"/>
        <s v="Hyderabad"/>
      </sharedItems>
    </cacheField>
    <cacheField name="TOTAL_TOOLS_USED" numFmtId="0">
      <sharedItems containsSemiMixedTypes="0" containsString="0" containsNumber="1" containsInteger="1" minValue="4" maxValue="7"/>
    </cacheField>
    <cacheField name="TOTAL_SESSION" numFmtId="0">
      <sharedItems containsSemiMixedTypes="0" containsString="0" containsNumber="1" containsInteger="1" minValue="5" maxValue="12"/>
    </cacheField>
    <cacheField name="TOTAL_PROMPT" numFmtId="0">
      <sharedItems containsSemiMixedTypes="0" containsString="0" containsNumber="1" containsInteger="1" minValue="18" maxValue="27"/>
    </cacheField>
    <cacheField name="TOTAL_TOKEN_USED" numFmtId="0">
      <sharedItems containsSemiMixedTypes="0" containsString="0" containsNumber="1" containsInteger="1" minValue="7768" maxValue="9762"/>
    </cacheField>
    <cacheField name="TOTAL_DAYS" numFmtId="0">
      <sharedItems containsSemiMixedTypes="0" containsString="0" containsNumber="1" containsInteger="1" minValue="5" maxValue="12"/>
    </cacheField>
    <cacheField name="total_duration_min" numFmtId="0">
      <sharedItems containsSemiMixedTypes="0" containsString="0" containsNumber="1" containsInteger="1" minValue="1019" maxValue="3352"/>
    </cacheField>
    <cacheField name="TOTAL SCORE " numFmtId="0">
      <sharedItems containsSemiMixedTypes="0" containsString="0" containsNumber="1" containsInteger="1" minValue="9290" maxValue="12365"/>
    </cacheField>
    <cacheField name="PER " numFmtId="165">
      <sharedItems containsSemiMixedTypes="0" containsString="0" containsNumber="1" minValue="9.0466452429642616E-2" maxValue="0.120410945564319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421"/>
    <n v="421"/>
    <n v="327"/>
    <n v="202339"/>
    <n v="251"/>
    <n v="203759"/>
    <n v="0.65008582349075084"/>
  </r>
  <r>
    <x v="0"/>
    <x v="1"/>
    <n v="307"/>
    <n v="307"/>
    <n v="256"/>
    <n v="126368"/>
    <n v="203"/>
    <n v="127441"/>
    <n v="0.4065959659768883"/>
  </r>
  <r>
    <x v="1"/>
    <x v="2"/>
    <n v="329"/>
    <n v="329"/>
    <n v="274"/>
    <n v="117975"/>
    <n v="224"/>
    <n v="119131"/>
    <n v="0.3800832073099919"/>
  </r>
  <r>
    <x v="0"/>
    <x v="3"/>
    <n v="242"/>
    <n v="242"/>
    <n v="209"/>
    <n v="79422"/>
    <n v="181"/>
    <n v="80296"/>
    <n v="0.25618152465909888"/>
  </r>
  <r>
    <x v="2"/>
    <x v="4"/>
    <n v="241"/>
    <n v="241"/>
    <n v="195"/>
    <n v="58447"/>
    <n v="168"/>
    <n v="59292"/>
    <n v="0.18916901165795669"/>
  </r>
  <r>
    <x v="3"/>
    <x v="5"/>
    <n v="127"/>
    <n v="127"/>
    <n v="108"/>
    <n v="23054"/>
    <n v="99"/>
    <n v="23515"/>
    <n v="7.5023768959334339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23"/>
    <n v="77"/>
    <n v="28"/>
    <n v="27107"/>
    <n v="28"/>
    <n v="27263"/>
    <n v="0.12281958409918189"/>
  </r>
  <r>
    <x v="1"/>
    <x v="1"/>
    <n v="19"/>
    <n v="58"/>
    <n v="22"/>
    <n v="23452"/>
    <n v="22"/>
    <n v="23573"/>
    <n v="0.10619616535120914"/>
  </r>
  <r>
    <x v="1"/>
    <x v="2"/>
    <n v="21"/>
    <n v="67"/>
    <n v="26"/>
    <n v="22888"/>
    <n v="25"/>
    <n v="23027"/>
    <n v="0.10373643997549285"/>
  </r>
  <r>
    <x v="0"/>
    <x v="3"/>
    <n v="18"/>
    <n v="63"/>
    <n v="23"/>
    <n v="22535"/>
    <n v="23"/>
    <n v="22662"/>
    <n v="0.10209211806681803"/>
  </r>
  <r>
    <x v="2"/>
    <x v="4"/>
    <n v="19"/>
    <n v="62"/>
    <n v="23"/>
    <n v="22399"/>
    <n v="22"/>
    <n v="22525"/>
    <n v="0.10147493422712366"/>
  </r>
  <r>
    <x v="3"/>
    <x v="5"/>
    <n v="16"/>
    <n v="56"/>
    <n v="20"/>
    <n v="21566"/>
    <n v="19"/>
    <n v="21677"/>
    <n v="9.7654701409161354E-2"/>
  </r>
  <r>
    <x v="4"/>
    <x v="6"/>
    <n v="18"/>
    <n v="60"/>
    <n v="24"/>
    <n v="21505"/>
    <n v="24"/>
    <n v="21631"/>
    <n v="9.7447471798753016E-2"/>
  </r>
  <r>
    <x v="1"/>
    <x v="7"/>
    <n v="16"/>
    <n v="52"/>
    <n v="23"/>
    <n v="19903"/>
    <n v="22"/>
    <n v="20016"/>
    <n v="9.0171910476808309E-2"/>
  </r>
  <r>
    <x v="5"/>
    <x v="8"/>
    <n v="17"/>
    <n v="56"/>
    <n v="20"/>
    <n v="19768"/>
    <n v="20"/>
    <n v="19881"/>
    <n v="8.9563736620175152E-2"/>
  </r>
  <r>
    <x v="6"/>
    <x v="9"/>
    <n v="19"/>
    <n v="51"/>
    <n v="21"/>
    <n v="19609"/>
    <n v="21"/>
    <n v="19721"/>
    <n v="8.8842937975276606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34"/>
    <n v="94"/>
    <n v="40"/>
    <n v="35110"/>
    <n v="39"/>
    <n v="35317"/>
    <n v="0.12528912602347064"/>
  </r>
  <r>
    <x v="1"/>
    <x v="1"/>
    <n v="31"/>
    <n v="98"/>
    <n v="36"/>
    <n v="33997"/>
    <n v="33"/>
    <n v="34195"/>
    <n v="0.12130876530771523"/>
  </r>
  <r>
    <x v="2"/>
    <x v="2"/>
    <n v="27"/>
    <n v="86"/>
    <n v="33"/>
    <n v="29637"/>
    <n v="30"/>
    <n v="29813"/>
    <n v="0.10576336365313391"/>
  </r>
  <r>
    <x v="3"/>
    <x v="3"/>
    <n v="23"/>
    <n v="80"/>
    <n v="29"/>
    <n v="28147"/>
    <n v="29"/>
    <n v="28308"/>
    <n v="0.10042428800499496"/>
  </r>
  <r>
    <x v="2"/>
    <x v="4"/>
    <n v="21"/>
    <n v="68"/>
    <n v="23"/>
    <n v="27169"/>
    <n v="23"/>
    <n v="27304"/>
    <n v="9.6862539200522207E-2"/>
  </r>
  <r>
    <x v="1"/>
    <x v="5"/>
    <n v="23"/>
    <n v="68"/>
    <n v="25"/>
    <n v="25543"/>
    <n v="24"/>
    <n v="25683"/>
    <n v="9.1111946758240983E-2"/>
  </r>
  <r>
    <x v="1"/>
    <x v="6"/>
    <n v="26"/>
    <n v="65"/>
    <n v="29"/>
    <n v="25289"/>
    <n v="28"/>
    <n v="25437"/>
    <n v="9.0239247349973753E-2"/>
  </r>
  <r>
    <x v="4"/>
    <x v="7"/>
    <n v="25"/>
    <n v="70"/>
    <n v="28"/>
    <n v="25271"/>
    <n v="27"/>
    <n v="25421"/>
    <n v="9.0182486412850676E-2"/>
  </r>
  <r>
    <x v="5"/>
    <x v="8"/>
    <n v="23"/>
    <n v="67"/>
    <n v="25"/>
    <n v="25123"/>
    <n v="24"/>
    <n v="25262"/>
    <n v="8.961842460019015E-2"/>
  </r>
  <r>
    <x v="1"/>
    <x v="9"/>
    <n v="18"/>
    <n v="64"/>
    <n v="20"/>
    <n v="25022"/>
    <n v="20"/>
    <n v="25144"/>
    <n v="8.919981268890749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T07"/>
    <x v="0"/>
    <n v="808"/>
    <n v="0.10773333333333333"/>
  </r>
  <r>
    <s v="T09"/>
    <x v="1"/>
    <n v="764"/>
    <n v="0.10186666666666666"/>
  </r>
  <r>
    <s v="T04"/>
    <x v="2"/>
    <n v="763"/>
    <n v="0.10173333333333333"/>
  </r>
  <r>
    <s v="T08"/>
    <x v="3"/>
    <n v="761"/>
    <n v="0.10146666666666666"/>
  </r>
  <r>
    <s v="T05"/>
    <x v="4"/>
    <n v="760"/>
    <n v="0.10133333333333333"/>
  </r>
  <r>
    <s v="T06"/>
    <x v="5"/>
    <n v="739"/>
    <n v="9.8533333333333334E-2"/>
  </r>
  <r>
    <s v="T10"/>
    <x v="6"/>
    <n v="739"/>
    <n v="9.8533333333333334E-2"/>
  </r>
  <r>
    <s v="T03"/>
    <x v="7"/>
    <n v="731"/>
    <n v="9.746666666666666E-2"/>
  </r>
  <r>
    <s v="T01"/>
    <x v="8"/>
    <n v="723"/>
    <n v="9.64E-2"/>
  </r>
  <r>
    <s v="T02"/>
    <x v="9"/>
    <n v="712"/>
    <n v="9.4933333333333328E-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7"/>
    <n v="12"/>
    <n v="27"/>
    <n v="9762"/>
    <n v="12"/>
    <n v="2545"/>
    <n v="12365"/>
    <n v="0.12041094556431979"/>
  </r>
  <r>
    <x v="1"/>
    <x v="1"/>
    <x v="1"/>
    <n v="6"/>
    <n v="7"/>
    <n v="19"/>
    <n v="7959"/>
    <n v="7"/>
    <n v="3352"/>
    <n v="11350"/>
    <n v="0.11052682831823936"/>
  </r>
  <r>
    <x v="2"/>
    <x v="2"/>
    <x v="0"/>
    <n v="5"/>
    <n v="8"/>
    <n v="21"/>
    <n v="8899"/>
    <n v="8"/>
    <n v="2254"/>
    <n v="11195"/>
    <n v="0.10901743110332067"/>
  </r>
  <r>
    <x v="3"/>
    <x v="3"/>
    <x v="2"/>
    <n v="7"/>
    <n v="8"/>
    <n v="19"/>
    <n v="8862"/>
    <n v="8"/>
    <n v="1202"/>
    <n v="10106"/>
    <n v="9.841269841269841E-2"/>
  </r>
  <r>
    <x v="4"/>
    <x v="4"/>
    <x v="2"/>
    <n v="4"/>
    <n v="8"/>
    <n v="23"/>
    <n v="8720"/>
    <n v="8"/>
    <n v="1343"/>
    <n v="10106"/>
    <n v="9.841269841269841E-2"/>
  </r>
  <r>
    <x v="5"/>
    <x v="5"/>
    <x v="3"/>
    <n v="5"/>
    <n v="7"/>
    <n v="18"/>
    <n v="8625"/>
    <n v="7"/>
    <n v="1291"/>
    <n v="9953"/>
    <n v="9.692277729087545E-2"/>
  </r>
  <r>
    <x v="6"/>
    <x v="6"/>
    <x v="4"/>
    <n v="6"/>
    <n v="7"/>
    <n v="23"/>
    <n v="8049"/>
    <n v="7"/>
    <n v="1404"/>
    <n v="9496"/>
    <n v="9.2472490018502287E-2"/>
  </r>
  <r>
    <x v="7"/>
    <x v="7"/>
    <x v="5"/>
    <n v="6"/>
    <n v="9"/>
    <n v="21"/>
    <n v="8396"/>
    <n v="9"/>
    <n v="1019"/>
    <n v="9460"/>
    <n v="9.2121920342779232E-2"/>
  </r>
  <r>
    <x v="8"/>
    <x v="8"/>
    <x v="6"/>
    <n v="7"/>
    <n v="7"/>
    <n v="18"/>
    <n v="7816"/>
    <n v="7"/>
    <n v="1514"/>
    <n v="9369"/>
    <n v="9.1235758106923748E-2"/>
  </r>
  <r>
    <x v="9"/>
    <x v="9"/>
    <x v="7"/>
    <n v="5"/>
    <n v="5"/>
    <n v="19"/>
    <n v="7768"/>
    <n v="5"/>
    <n v="1488"/>
    <n v="9290"/>
    <n v="9.046645242964261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63D4B-AE06-46BD-A6EF-4F961A96D51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7:I18" firstHeaderRow="0" firstDataRow="1" firstDataCol="1"/>
  <pivotFields count="4">
    <pivotField showAll="0"/>
    <pivotField axis="axisRow" showAll="0" sortType="descending">
      <items count="11">
        <item x="1"/>
        <item x="8"/>
        <item x="7"/>
        <item x="2"/>
        <item x="0"/>
        <item x="6"/>
        <item x="9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numFmtId="10" showAll="0"/>
  </pivotFields>
  <rowFields count="1">
    <field x="1"/>
  </rowFields>
  <rowItems count="11">
    <i>
      <x v="4"/>
    </i>
    <i>
      <x/>
    </i>
    <i>
      <x v="3"/>
    </i>
    <i>
      <x v="8"/>
    </i>
    <i>
      <x v="9"/>
    </i>
    <i>
      <x v="7"/>
    </i>
    <i>
      <x v="5"/>
    </i>
    <i>
      <x v="2"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ESSIONS" fld="2" baseField="0" baseItem="0"/>
    <dataField name="Sum of USE_PERCENTAGE" fld="3" baseField="0" baseItem="0" numFmtId="10"/>
  </dataFields>
  <formats count="1">
    <format dxfId="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EA358-5CC8-46D7-93A8-B31FCE1759AB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2:G23" firstHeaderRow="1" firstDataRow="1" firstDataCol="1"/>
  <pivotFields count="9"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3"/>
        <item x="0"/>
        <item x="5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0" showAll="0"/>
  </pivotFields>
  <rowFields count="2">
    <field x="0"/>
    <field x="1"/>
  </rowFields>
  <rowItems count="11">
    <i>
      <x v="2"/>
    </i>
    <i r="1">
      <x/>
    </i>
    <i r="1">
      <x v="1"/>
    </i>
    <i r="1">
      <x v="4"/>
    </i>
    <i>
      <x/>
    </i>
    <i r="1">
      <x v="5"/>
    </i>
    <i>
      <x v="1"/>
    </i>
    <i r="1">
      <x v="3"/>
    </i>
    <i>
      <x v="3"/>
    </i>
    <i r="1">
      <x v="2"/>
    </i>
    <i t="grand">
      <x/>
    </i>
  </rowItems>
  <colItems count="1">
    <i/>
  </colItems>
  <dataFields count="1">
    <dataField name="Sum of PER" fld="8" baseField="0" baseItem="0" numFmtId="1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BB763-7958-4991-B324-B7F9DC9279D4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4:B32" firstHeaderRow="1" firstDataRow="1" firstDataCol="1"/>
  <pivotFields count="9">
    <pivotField axis="axisRow" showAll="0" sortType="descending">
      <items count="8">
        <item x="6"/>
        <item x="4"/>
        <item x="0"/>
        <item x="5"/>
        <item x="1"/>
        <item x="3"/>
        <item n="Midjour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6"/>
        <item x="1"/>
        <item x="9"/>
        <item x="8"/>
        <item x="2"/>
        <item x="7"/>
        <item x="4"/>
        <item x="0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5" showAll="0"/>
  </pivotFields>
  <rowFields count="2">
    <field x="0"/>
    <field x="1"/>
  </rowFields>
  <rowItems count="18">
    <i>
      <x v="4"/>
    </i>
    <i r="1">
      <x v="1"/>
    </i>
    <i r="1">
      <x v="4"/>
    </i>
    <i r="1">
      <x v="5"/>
    </i>
    <i>
      <x v="2"/>
    </i>
    <i r="1">
      <x v="7"/>
    </i>
    <i r="1">
      <x v="9"/>
    </i>
    <i>
      <x v="6"/>
    </i>
    <i r="1">
      <x v="6"/>
    </i>
    <i>
      <x v="5"/>
    </i>
    <i r="1">
      <x v="8"/>
    </i>
    <i>
      <x v="1"/>
    </i>
    <i r="1">
      <x/>
    </i>
    <i>
      <x v="3"/>
    </i>
    <i r="1">
      <x v="3"/>
    </i>
    <i>
      <x/>
    </i>
    <i r="1">
      <x v="2"/>
    </i>
    <i t="grand">
      <x/>
    </i>
  </rowItems>
  <colItems count="1">
    <i/>
  </colItems>
  <dataFields count="1">
    <dataField name="Sum of per " fld="8" baseField="0" baseItem="0" numFmtId="165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768FE-F519-4B7D-A659-88CA44C20094}" name="PivotTable3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7:G34" firstHeaderRow="1" firstDataRow="1" firstDataCol="1"/>
  <pivotFields count="9">
    <pivotField axis="axisRow" showAll="0">
      <items count="7">
        <item x="2"/>
        <item x="0"/>
        <item x="1"/>
        <item x="4"/>
        <item n="Midjour" x="3"/>
        <item n="Perplex" x="5"/>
        <item t="default"/>
      </items>
    </pivotField>
    <pivotField axis="axisRow" showAll="0">
      <items count="11">
        <item x="5"/>
        <item x="6"/>
        <item x="4"/>
        <item x="9"/>
        <item x="1"/>
        <item x="8"/>
        <item x="3"/>
        <item x="7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0" showAll="0"/>
  </pivotFields>
  <rowFields count="2">
    <field x="0"/>
    <field x="1"/>
  </rowFields>
  <rowItems count="17">
    <i>
      <x/>
    </i>
    <i r="1">
      <x v="2"/>
    </i>
    <i r="1">
      <x v="9"/>
    </i>
    <i>
      <x v="1"/>
    </i>
    <i r="1">
      <x v="8"/>
    </i>
    <i>
      <x v="2"/>
    </i>
    <i r="1">
      <x/>
    </i>
    <i r="1">
      <x v="1"/>
    </i>
    <i r="1">
      <x v="3"/>
    </i>
    <i r="1">
      <x v="4"/>
    </i>
    <i>
      <x v="3"/>
    </i>
    <i r="1">
      <x v="7"/>
    </i>
    <i>
      <x v="4"/>
    </i>
    <i r="1">
      <x v="6"/>
    </i>
    <i>
      <x v="5"/>
    </i>
    <i r="1">
      <x v="5"/>
    </i>
    <i t="grand">
      <x/>
    </i>
  </rowItems>
  <colItems count="1">
    <i/>
  </colItems>
  <dataFields count="1">
    <dataField name="Sum of PER" fld="8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7CE50-CEA0-4ED6-BCD1-E9B6E899054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4:H35" firstHeaderRow="1" firstDataRow="1" firstDataCol="1"/>
  <pivotFields count="11">
    <pivotField axis="axisRow" showAll="0" sortType="descending">
      <items count="11">
        <item x="0"/>
        <item x="2"/>
        <item x="8"/>
        <item x="3"/>
        <item x="6"/>
        <item x="1"/>
        <item x="5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1">
        <item x="6"/>
        <item x="7"/>
        <item x="8"/>
        <item x="9"/>
        <item x="0"/>
        <item x="3"/>
        <item x="4"/>
        <item x="2"/>
        <item x="5"/>
        <item x="1"/>
        <item t="default"/>
      </items>
    </pivotField>
    <pivotField showAll="0">
      <items count="9">
        <item x="7"/>
        <item x="5"/>
        <item x="2"/>
        <item x="4"/>
        <item x="1"/>
        <item x="0"/>
        <item x="6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2">
    <field x="0"/>
    <field x="1"/>
  </rowFields>
  <rowItems count="21">
    <i>
      <x/>
    </i>
    <i r="1">
      <x v="4"/>
    </i>
    <i>
      <x v="5"/>
    </i>
    <i r="1">
      <x v="9"/>
    </i>
    <i>
      <x v="1"/>
    </i>
    <i r="1">
      <x v="7"/>
    </i>
    <i>
      <x v="7"/>
    </i>
    <i r="1">
      <x v="6"/>
    </i>
    <i>
      <x v="3"/>
    </i>
    <i r="1">
      <x v="5"/>
    </i>
    <i>
      <x v="6"/>
    </i>
    <i r="1">
      <x v="8"/>
    </i>
    <i>
      <x v="4"/>
    </i>
    <i r="1">
      <x/>
    </i>
    <i>
      <x v="9"/>
    </i>
    <i r="1">
      <x v="1"/>
    </i>
    <i>
      <x v="2"/>
    </i>
    <i r="1">
      <x v="2"/>
    </i>
    <i>
      <x v="8"/>
    </i>
    <i r="1">
      <x v="3"/>
    </i>
    <i t="grand">
      <x/>
    </i>
  </rowItems>
  <colItems count="1">
    <i/>
  </colItems>
  <dataFields count="1">
    <dataField name="Sum of PER " fld="10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BE214-6DDC-4A37-8C7C-85AB87648C1A}" autoFormatId="16" applyNumberFormats="0" applyBorderFormats="0" applyFontFormats="0" applyPatternFormats="0" applyAlignmentFormats="0" applyWidthHeightFormats="0">
  <queryTableRefresh nextId="5">
    <queryTableFields count="4">
      <queryTableField id="1" name="TOOL_ID" tableColumnId="1"/>
      <queryTableField id="2" name="TOOL_NAME" tableColumnId="2"/>
      <queryTableField id="3" name="TOTAL_SESSIONS" tableColumnId="3"/>
      <queryTableField id="4" name="USE_PERCENTAG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CCAF4D0-E429-40EE-B1A7-7CB7E55C1746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TOTAL_SESSIONS" tableColumnId="2"/>
      <queryTableField id="3" name="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9E5A30-95CE-4A0B-8A64-C003C51CCF47}" autoFormatId="16" applyNumberFormats="0" applyBorderFormats="0" applyFontFormats="0" applyPatternFormats="0" applyAlignmentFormats="0" applyWidthHeightFormats="0">
  <queryTableRefresh nextId="3">
    <queryTableFields count="2">
      <queryTableField id="1" name="SESSION_ID" tableColumnId="1"/>
      <queryTableField id="2" name="AVG_PROMPT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DDB9A27-A83D-429B-83E9-2009146BE8E8}" autoFormatId="16" applyNumberFormats="0" applyBorderFormats="0" applyFontFormats="0" applyPatternFormats="0" applyAlignmentFormats="0" applyWidthHeightFormats="0">
  <queryTableRefresh nextId="2">
    <queryTableFields count="1">
      <queryTableField id="1" name="AVG(AVG_TOKEN_USED)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A15E337-E467-4508-93F7-6E373E2B6D1F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TOOL_NAME" tableColumnId="1"/>
      <queryTableField id="2" name="CATEGORY" tableColumnId="2"/>
      <queryTableField id="3" name="TOTAL_USERS" tableColumnId="3"/>
      <queryTableField id="4" name="TOTAL_PROMPTS" tableColumnId="4"/>
      <queryTableField id="5" name="TOTAL_SESSIONS" tableColumnId="5"/>
      <queryTableField id="6" name="TOTAL_TOKEN_USED" tableColumnId="6"/>
      <queryTableField id="7" name="TOTAL_DAYS" tableColumnId="7"/>
      <queryTableField id="8" dataBound="0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9364A69-78A0-49FD-A41E-DAEBD754CF9A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TOOL_NAME" tableColumnId="1"/>
      <queryTableField id="2" name="PROFESSION" tableColumnId="2"/>
      <queryTableField id="3" name="TOTAL_USERS" tableColumnId="3"/>
      <queryTableField id="4" name="TOTAL_PROMPTS" tableColumnId="4"/>
      <queryTableField id="5" name="TOTAL_SESSIONS" tableColumnId="5"/>
      <queryTableField id="6" name="TOTAL_TOKEN_USED" tableColumnId="6"/>
      <queryTableField id="7" name="TOTAL_DAYS" tableColumnId="7"/>
      <queryTableField id="8" dataBound="0" tableColumnId="8"/>
      <queryTableField id="9" dataBound="0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72F1E00-3716-4AB4-A40E-58EDF1B2E7FD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TOOL_NAME" tableColumnId="1"/>
      <queryTableField id="2" name="CITY" tableColumnId="2"/>
      <queryTableField id="3" name="TOTAL_USERS" tableColumnId="3"/>
      <queryTableField id="4" name="TOTAL_PROMPTS" tableColumnId="4"/>
      <queryTableField id="5" name="TOTAL_SESSIONS" tableColumnId="5"/>
      <queryTableField id="6" name="TOTAL_TOKEN_USED" tableColumnId="6"/>
      <queryTableField id="7" name="TOTAL_DAYS" tableColumnId="7"/>
      <queryTableField id="8" dataBound="0" tableColumnId="8"/>
      <queryTableField id="9" dataBound="0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5B46100-2E0B-4AC3-A6DC-0A8D68034600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USER_ID" tableColumnId="1"/>
      <queryTableField id="2" name="USER_NAME" tableColumnId="2"/>
      <queryTableField id="3" name="CITY" tableColumnId="3"/>
      <queryTableField id="4" name="TOTAL_TOOLS_USED" tableColumnId="4"/>
      <queryTableField id="5" name="TOTAL_SESSION" tableColumnId="5"/>
      <queryTableField id="6" name="TOTAL_PROMPT" tableColumnId="6"/>
      <queryTableField id="7" name="TOTAL_TOKEN_USED" tableColumnId="7"/>
      <queryTableField id="8" name="TOTAL_DAYS" tableColumnId="8"/>
      <queryTableField id="9" name="total_duration_min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B23C7-9A1B-4D98-A0AC-365CDE7FD18A}" name="_1__TOOL_USE_PER" displayName="_1__TOOL_USE_PER" ref="A1:D11" tableType="queryTable" totalsRowShown="0">
  <autoFilter ref="A1:D11" xr:uid="{5ECB23C7-9A1B-4D98-A0AC-365CDE7FD18A}"/>
  <sortState xmlns:xlrd2="http://schemas.microsoft.com/office/spreadsheetml/2017/richdata2" ref="A2:D11">
    <sortCondition descending="1" ref="D2:D11"/>
  </sortState>
  <tableColumns count="4">
    <tableColumn id="1" xr3:uid="{383793F1-FA3F-4A06-8634-37D9B7CEC7EC}" uniqueName="1" name="TOOL_ID" queryTableFieldId="1" dataDxfId="34"/>
    <tableColumn id="2" xr3:uid="{43927572-08F2-4FA0-812E-CC8BA4697366}" uniqueName="2" name="TOOL_NAME" queryTableFieldId="2" dataDxfId="33"/>
    <tableColumn id="3" xr3:uid="{F3607102-3448-402F-B262-25191B02A067}" uniqueName="3" name="TOTAL_SESSIONS" queryTableFieldId="3"/>
    <tableColumn id="4" xr3:uid="{8EF99E0E-6F1B-42B4-9591-A87074D9480B}" uniqueName="4" name="USE_PERCENTAGE" queryTableFieldId="4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7E2BF1-6AD8-41B6-8F98-0AB54252B226}" name="_2__PROMPT_USE_PER" displayName="_2__PROMPT_USE_PER" ref="A1:C7" tableType="queryTable" totalsRowShown="0">
  <autoFilter ref="A1:C7" xr:uid="{DD7E2BF1-6AD8-41B6-8F98-0AB54252B226}"/>
  <tableColumns count="3">
    <tableColumn id="1" xr3:uid="{53B575E7-86B8-4F82-AFBC-F7D11352862C}" uniqueName="1" name="CATEGORY" queryTableFieldId="1" dataDxfId="31"/>
    <tableColumn id="2" xr3:uid="{5B0D1144-8B4E-48B5-9D0F-AA5170E533C2}" uniqueName="2" name="TOTAL_SESSIONS" queryTableFieldId="2"/>
    <tableColumn id="3" xr3:uid="{66A8C5F9-7B61-496D-BF43-07D7D745C09C}" uniqueName="3" name="PERCENTAGE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10A395-7180-4754-986F-998DE2124512}" name="_3__AVG_PROMPTS_PER_SESSION" displayName="_3__AVG_PROMPTS_PER_SESSION" ref="A1:B2" tableType="queryTable" totalsRowShown="0">
  <autoFilter ref="A1:B2" xr:uid="{C610A395-7180-4754-986F-998DE2124512}"/>
  <tableColumns count="2">
    <tableColumn id="1" xr3:uid="{5CA31AFF-E089-42EE-8879-AD20D5219A89}" uniqueName="1" name="SESSION_ID" queryTableFieldId="1" dataDxfId="30"/>
    <tableColumn id="2" xr3:uid="{071AB454-F13A-4036-9CDA-4293EB48DCB5}" uniqueName="2" name="AVG_PROMPTS" queryTableFieldId="2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2BEF94-ACD8-4645-BE18-820DAD00D874}" name="_4__AVG_TOKEN_PER_SESSION" displayName="_4__AVG_TOKEN_PER_SESSION" ref="A1:A2" tableType="queryTable" totalsRowShown="0" dataDxfId="28">
  <autoFilter ref="A1:A2" xr:uid="{5E2BEF94-ACD8-4645-BE18-820DAD00D874}"/>
  <tableColumns count="1">
    <tableColumn id="1" xr3:uid="{BF9B8E0B-46DF-4A96-82A6-CFEE930E7102}" uniqueName="1" name="avg token per session" queryTableFieldId="1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680348-EC67-47F6-98EA-6E5416786418}" name="_5__TOOL_X_PROMPT_CAT" displayName="_5__TOOL_X_PROMPT_CAT" ref="A1:I7" tableType="queryTable" totalsRowShown="0">
  <autoFilter ref="A1:I7" xr:uid="{20680348-EC67-47F6-98EA-6E5416786418}"/>
  <tableColumns count="9">
    <tableColumn id="1" xr3:uid="{57C00F53-B732-4D0F-AB49-3C189625662C}" uniqueName="1" name="TOOL_NAME" queryTableFieldId="1" dataDxfId="26"/>
    <tableColumn id="2" xr3:uid="{BE8D1908-5B2A-46D1-94A4-328391349568}" uniqueName="2" name="CATEGORY" queryTableFieldId="2" dataDxfId="25"/>
    <tableColumn id="3" xr3:uid="{A4F1FEB5-2313-4B4B-A393-7794062604AF}" uniqueName="3" name="TOTAL_USERS" queryTableFieldId="3"/>
    <tableColumn id="4" xr3:uid="{0FA33A59-0E61-4476-B339-6DEAA2C95D16}" uniqueName="4" name="TOTAL_PROMPTS" queryTableFieldId="4"/>
    <tableColumn id="5" xr3:uid="{4CDDDE3A-E8A9-4174-A853-F628E69AB9A2}" uniqueName="5" name="TOTAL_SESSIONS" queryTableFieldId="5"/>
    <tableColumn id="6" xr3:uid="{D456BC1F-E97C-42DC-89F0-7E50E8A6132F}" uniqueName="6" name="TOTAL_TOKEN_USED" queryTableFieldId="6"/>
    <tableColumn id="7" xr3:uid="{8428E790-588F-4855-977C-216B124F6794}" uniqueName="7" name="TOTAL_DAYS" queryTableFieldId="7"/>
    <tableColumn id="8" xr3:uid="{5B70BBD2-8883-44DF-99EE-A506A910B40B}" uniqueName="8" name="TOTAL SCORE" queryTableFieldId="8" dataDxfId="24">
      <calculatedColumnFormula>SUM(_5__TOOL_X_PROMPT_CAT[[#This Row],[TOTAL_USERS]],_5__TOOL_X_PROMPT_CAT[[#This Row],[TOTAL_PROMPTS]],_5__TOOL_X_PROMPT_CAT[[#This Row],[TOTAL_SESSIONS]],_5__TOOL_X_PROMPT_CAT[[#This Row],[TOTAL_TOKEN_USED]],_5__TOOL_X_PROMPT_CAT[[#This Row],[TOTAL_DAYS]])</calculatedColumnFormula>
    </tableColumn>
    <tableColumn id="9" xr3:uid="{3F041B71-961F-4BA6-8F26-30AA22D982B9}" uniqueName="9" name="PER" queryTableFieldId="9" dataDxfId="23">
      <calculatedColumnFormula>_5__TOOL_X_PROMPT_CAT[[#This Row],[TOTAL SCORE]]/313434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474450-6B60-49A1-9EA3-C7C9367B215D}" name="_6__TOOL_X_PROFESSION" displayName="_6__TOOL_X_PROFESSION" ref="A1:I11" tableType="queryTable" totalsRowShown="0">
  <autoFilter ref="A1:I11" xr:uid="{A2474450-6B60-49A1-9EA3-C7C9367B215D}"/>
  <sortState xmlns:xlrd2="http://schemas.microsoft.com/office/spreadsheetml/2017/richdata2" ref="A2:I11">
    <sortCondition descending="1" ref="H2:H11"/>
  </sortState>
  <tableColumns count="9">
    <tableColumn id="1" xr3:uid="{3983F79F-1051-4143-B94B-9950CE84DF6F}" uniqueName="1" name="TOOL_NAME" queryTableFieldId="1" dataDxfId="22"/>
    <tableColumn id="2" xr3:uid="{715A1B10-A68C-48DD-B2DF-D6A5AB630282}" uniqueName="2" name="PROFESSION" queryTableFieldId="2" dataDxfId="21"/>
    <tableColumn id="3" xr3:uid="{C506E5B1-D009-4C2C-B352-AEC7574F0B14}" uniqueName="3" name="TOTAL_USERS" queryTableFieldId="3"/>
    <tableColumn id="4" xr3:uid="{71FE2E06-389C-40EB-A271-CFE2B4CA943E}" uniqueName="4" name="TOTAL_PROMPTS" queryTableFieldId="4"/>
    <tableColumn id="5" xr3:uid="{7EBD440E-CDD2-46DE-A6E9-5FE05BC43F04}" uniqueName="5" name="TOTAL_SESSIONS" queryTableFieldId="5"/>
    <tableColumn id="6" xr3:uid="{267850D1-FE6B-4210-87C0-A01BEEFC3A5A}" uniqueName="6" name="TOTAL_TOKEN_USED" queryTableFieldId="6"/>
    <tableColumn id="7" xr3:uid="{3BB0E7D4-C927-453E-ACB2-A8B81B97EC80}" uniqueName="7" name="TOTAL_DAYS" queryTableFieldId="7"/>
    <tableColumn id="8" xr3:uid="{181FB42A-4848-49C0-9F7B-6A043B15E3CA}" uniqueName="8" name="total score " queryTableFieldId="8" dataDxfId="20">
      <calculatedColumnFormula>SUM(_6__TOOL_X_PROFESSION[[#This Row],[TOTAL_USERS]],_6__TOOL_X_PROFESSION[[#This Row],[TOTAL_PROMPTS]],_6__TOOL_X_PROFESSION[[#This Row],[TOTAL_SESSIONS]],_6__TOOL_X_PROFESSION[[#This Row],[TOTAL_TOKEN_USED]],_6__TOOL_X_PROFESSION[[#This Row],[TOTAL_DAYS]])</calculatedColumnFormula>
    </tableColumn>
    <tableColumn id="9" xr3:uid="{38F257BE-7A74-4789-9BEE-78C44A1E58E5}" uniqueName="9" name="per " queryTableFieldId="9" dataDxfId="19">
      <calculatedColumnFormula>_6__TOOL_X_PROFESSION[[#This Row],[total score ]]/221976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82F1CD-2015-4185-A2EC-9DB65885E3D6}" name="_7__TOOL_X_CITY" displayName="_7__TOOL_X_CITY" ref="A1:I11" tableType="queryTable" totalsRowShown="0">
  <autoFilter ref="A1:I11" xr:uid="{C082F1CD-2015-4185-A2EC-9DB65885E3D6}"/>
  <tableColumns count="9">
    <tableColumn id="1" xr3:uid="{8EEB9F3B-D9BB-464F-B3EB-C7A020BBA9EC}" uniqueName="1" name="TOOL_NAME" queryTableFieldId="1" dataDxfId="18"/>
    <tableColumn id="2" xr3:uid="{259602E3-2ACD-40A6-A344-07D906F61558}" uniqueName="2" name="CITY" queryTableFieldId="2" dataDxfId="17"/>
    <tableColumn id="3" xr3:uid="{55BBF752-FF83-4C26-A53F-0C8146AE26DF}" uniqueName="3" name="TOTAL_USERS" queryTableFieldId="3"/>
    <tableColumn id="4" xr3:uid="{0C567D5F-2CD6-4FDD-8074-3A73A0478038}" uniqueName="4" name="TOTAL_PROMPTS" queryTableFieldId="4"/>
    <tableColumn id="5" xr3:uid="{3334B92D-9964-441C-8B1B-D7506C90C767}" uniqueName="5" name="TOTAL_SESSIONS" queryTableFieldId="5"/>
    <tableColumn id="6" xr3:uid="{037120E5-543F-472B-9523-1F30E506D56A}" uniqueName="6" name="TOTAL_TOKEN_USED" queryTableFieldId="6"/>
    <tableColumn id="7" xr3:uid="{69F2EE07-58EF-4754-A410-708420E42971}" uniqueName="7" name="TOTAL_DAYS" queryTableFieldId="7"/>
    <tableColumn id="8" xr3:uid="{27F44119-25CC-49FA-AFF2-F4CED923204F}" uniqueName="8" name="TOTAL SCORE " queryTableFieldId="8" dataDxfId="16">
      <calculatedColumnFormula>SUM(_7__TOOL_X_CITY[[#This Row],[TOTAL_USERS]],_7__TOOL_X_CITY[[#This Row],[TOTAL_PROMPTS]],_7__TOOL_X_CITY[[#This Row],[TOTAL_SESSIONS]],_7__TOOL_X_CITY[[#This Row],[TOTAL_TOKEN_USED]],_7__TOOL_X_CITY[[#This Row],[TOTAL_DAYS]])</calculatedColumnFormula>
    </tableColumn>
    <tableColumn id="9" xr3:uid="{D3F9C313-0118-4CB1-B8C9-0D53BBC02A55}" uniqueName="9" name="PER" queryTableFieldId="9" dataDxfId="15">
      <calculatedColumnFormula>_7__TOOL_X_CITY[[#This Row],[TOTAL SCORE ]]/281884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B4D48E-83A9-4226-BC0D-C478193759EE}" name="_8__TOP_10_ENGAGED_USERS" displayName="_8__TOP_10_ENGAGED_USERS" ref="A1:K11" tableType="queryTable" totalsRowShown="0">
  <autoFilter ref="A1:K11" xr:uid="{70B4D48E-83A9-4226-BC0D-C478193759EE}"/>
  <sortState xmlns:xlrd2="http://schemas.microsoft.com/office/spreadsheetml/2017/richdata2" ref="A2:K11">
    <sortCondition descending="1" ref="J2:J11"/>
  </sortState>
  <tableColumns count="11">
    <tableColumn id="1" xr3:uid="{2B5B1C21-9D89-4500-B9E4-B3C61D5AA30C}" uniqueName="1" name="USER_ID" queryTableFieldId="1" dataDxfId="14"/>
    <tableColumn id="2" xr3:uid="{D9659865-96CA-4375-8A02-86DD865A28C2}" uniqueName="2" name="USER_NAME" queryTableFieldId="2" dataDxfId="13"/>
    <tableColumn id="3" xr3:uid="{4A9C10D8-0F1C-4B6F-AF86-2A390690CBF9}" uniqueName="3" name="CITY" queryTableFieldId="3" dataDxfId="12"/>
    <tableColumn id="4" xr3:uid="{9E32E777-E886-4B57-973F-4516CF67BC61}" uniqueName="4" name="TOTAL_TOOLS_USED" queryTableFieldId="4"/>
    <tableColumn id="5" xr3:uid="{215F40CF-A672-4CB1-941F-1A99D4AE84F1}" uniqueName="5" name="TOTAL_SESSION" queryTableFieldId="5"/>
    <tableColumn id="6" xr3:uid="{D90FA033-7F7B-4E7E-AFB6-76AC2D567A08}" uniqueName="6" name="TOTAL_PROMPT" queryTableFieldId="6"/>
    <tableColumn id="7" xr3:uid="{9729F31C-62D7-425E-B7F9-6F37BB1C1F80}" uniqueName="7" name="TOTAL_TOKEN_USED" queryTableFieldId="7"/>
    <tableColumn id="8" xr3:uid="{7668667B-1B7E-4D73-9F40-C7F6B503F6A9}" uniqueName="8" name="TOTAL_DAYS" queryTableFieldId="8"/>
    <tableColumn id="9" xr3:uid="{91FAC2A0-D6F6-48D8-A391-2EA834A2919E}" uniqueName="9" name="total_duration_min" queryTableFieldId="9"/>
    <tableColumn id="10" xr3:uid="{9595EE2D-93B3-4044-B43F-DE427B03C66D}" uniqueName="10" name="TOTAL SCORE " queryTableFieldId="10" dataDxfId="1">
      <calculatedColumnFormula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calculatedColumnFormula>
    </tableColumn>
    <tableColumn id="11" xr3:uid="{1A2E09BB-C99C-47A3-9206-41198D4C495D}" uniqueName="11" name="PER " queryTableFieldId="11" dataDxfId="0">
      <calculatedColumnFormula>_8__TOP_10_ENGAGED_USERS[[#This Row],[TOTAL SCORE ]]/102690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40CD9A-AD72-47F3-B7D1-3855F29B613A}" name="Table10" displayName="Table10" ref="A1:D3" totalsRowShown="0" tableBorderDxfId="11">
  <autoFilter ref="A1:D3" xr:uid="{A540CD9A-AD72-47F3-B7D1-3855F29B613A}"/>
  <tableColumns count="4">
    <tableColumn id="1" xr3:uid="{91159A46-C26D-41B5-8A13-8935334F6D0C}" name="Column1"/>
    <tableColumn id="2" xr3:uid="{C7D04A20-2FC0-4F58-96A1-B0D7E83FFCD1}" name="Column2"/>
    <tableColumn id="3" xr3:uid="{C3DC5EBB-6702-4914-8185-C6075D11E469}" name="Column3"/>
    <tableColumn id="4" xr3:uid="{98D052E3-847A-4605-AC0F-5D61B374CAF0}" name="Column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5A7C60-92AB-4EF0-8C1E-A3B693628BB9}" name="Table12" displayName="Table12" ref="A1:D2" totalsRowShown="0" headerRowDxfId="10" dataDxfId="9" tableBorderDxfId="8">
  <autoFilter ref="A1:D2" xr:uid="{2D5A7C60-92AB-4EF0-8C1E-A3B693628BB9}"/>
  <tableColumns count="4">
    <tableColumn id="1" xr3:uid="{7F2E864A-B86E-416F-B461-1120853708CE}" name="user id" dataDxfId="7"/>
    <tableColumn id="2" xr3:uid="{FC83A38F-B9E6-4ECE-9EF4-4951332EBB11}" name="name" dataDxfId="6"/>
    <tableColumn id="3" xr3:uid="{79875F3A-4D9C-4146-913A-C5C3F0FA29EF}" name="session id" dataDxfId="5"/>
    <tableColumn id="4" xr3:uid="{CC188D41-895F-4A25-8513-E2FF596D4B2C}" name="duration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90B4-8C88-4C71-9409-1FA55E1EB80B}">
  <dimension ref="A1:I18"/>
  <sheetViews>
    <sheetView workbookViewId="0">
      <selection activeCell="D20" sqref="D20"/>
    </sheetView>
  </sheetViews>
  <sheetFormatPr defaultRowHeight="14.4" x14ac:dyDescent="0.3"/>
  <cols>
    <col min="1" max="1" width="10.21875" bestFit="1" customWidth="1"/>
    <col min="2" max="2" width="13.33203125" bestFit="1" customWidth="1"/>
    <col min="3" max="3" width="17.88671875" bestFit="1" customWidth="1"/>
    <col min="4" max="4" width="18.5546875" bestFit="1" customWidth="1"/>
    <col min="7" max="7" width="12.44140625" bestFit="1" customWidth="1"/>
    <col min="8" max="8" width="21.88671875" bestFit="1" customWidth="1"/>
    <col min="9" max="9" width="22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16</v>
      </c>
      <c r="B2" t="s">
        <v>17</v>
      </c>
      <c r="C2">
        <v>808</v>
      </c>
      <c r="D2" s="2">
        <f>_1__TOOL_USE_PER[[#This Row],[TOTAL_SESSIONS]]/7500</f>
        <v>0.10773333333333333</v>
      </c>
    </row>
    <row r="3" spans="1:9" x14ac:dyDescent="0.3">
      <c r="A3" t="s">
        <v>20</v>
      </c>
      <c r="B3" t="s">
        <v>21</v>
      </c>
      <c r="C3">
        <v>764</v>
      </c>
      <c r="D3" s="2">
        <f>_1__TOOL_USE_PER[[#This Row],[TOTAL_SESSIONS]]/7500</f>
        <v>0.10186666666666666</v>
      </c>
    </row>
    <row r="4" spans="1:9" x14ac:dyDescent="0.3">
      <c r="A4" t="s">
        <v>10</v>
      </c>
      <c r="B4" t="s">
        <v>11</v>
      </c>
      <c r="C4">
        <v>763</v>
      </c>
      <c r="D4" s="2">
        <f>_1__TOOL_USE_PER[[#This Row],[TOTAL_SESSIONS]]/7500</f>
        <v>0.10173333333333333</v>
      </c>
    </row>
    <row r="5" spans="1:9" x14ac:dyDescent="0.3">
      <c r="A5" t="s">
        <v>18</v>
      </c>
      <c r="B5" t="s">
        <v>19</v>
      </c>
      <c r="C5">
        <v>761</v>
      </c>
      <c r="D5" s="2">
        <f>_1__TOOL_USE_PER[[#This Row],[TOTAL_SESSIONS]]/7500</f>
        <v>0.10146666666666666</v>
      </c>
    </row>
    <row r="6" spans="1:9" x14ac:dyDescent="0.3">
      <c r="A6" t="s">
        <v>12</v>
      </c>
      <c r="B6" t="s">
        <v>13</v>
      </c>
      <c r="C6">
        <v>760</v>
      </c>
      <c r="D6" s="2">
        <f>_1__TOOL_USE_PER[[#This Row],[TOTAL_SESSIONS]]/7500</f>
        <v>0.10133333333333333</v>
      </c>
    </row>
    <row r="7" spans="1:9" x14ac:dyDescent="0.3">
      <c r="A7" t="s">
        <v>14</v>
      </c>
      <c r="B7" t="s">
        <v>15</v>
      </c>
      <c r="C7">
        <v>739</v>
      </c>
      <c r="D7" s="2">
        <f>_1__TOOL_USE_PER[[#This Row],[TOTAL_SESSIONS]]/7500</f>
        <v>9.8533333333333334E-2</v>
      </c>
      <c r="G7" s="10" t="s">
        <v>108</v>
      </c>
      <c r="H7" t="s">
        <v>121</v>
      </c>
      <c r="I7" t="s">
        <v>122</v>
      </c>
    </row>
    <row r="8" spans="1:9" x14ac:dyDescent="0.3">
      <c r="A8" t="s">
        <v>22</v>
      </c>
      <c r="B8" t="s">
        <v>23</v>
      </c>
      <c r="C8">
        <v>739</v>
      </c>
      <c r="D8" s="2">
        <f>_1__TOOL_USE_PER[[#This Row],[TOTAL_SESSIONS]]/7500</f>
        <v>9.8533333333333334E-2</v>
      </c>
      <c r="G8" s="11" t="s">
        <v>17</v>
      </c>
      <c r="H8" s="14">
        <v>808</v>
      </c>
      <c r="I8" s="15">
        <v>0.10773333333333333</v>
      </c>
    </row>
    <row r="9" spans="1:9" x14ac:dyDescent="0.3">
      <c r="A9" t="s">
        <v>8</v>
      </c>
      <c r="B9" t="s">
        <v>9</v>
      </c>
      <c r="C9">
        <v>731</v>
      </c>
      <c r="D9" s="2">
        <f>_1__TOOL_USE_PER[[#This Row],[TOTAL_SESSIONS]]/7500</f>
        <v>9.746666666666666E-2</v>
      </c>
      <c r="G9" s="11" t="s">
        <v>21</v>
      </c>
      <c r="H9" s="14">
        <v>764</v>
      </c>
      <c r="I9" s="15">
        <v>0.10186666666666666</v>
      </c>
    </row>
    <row r="10" spans="1:9" x14ac:dyDescent="0.3">
      <c r="A10" t="s">
        <v>4</v>
      </c>
      <c r="B10" t="s">
        <v>5</v>
      </c>
      <c r="C10">
        <v>723</v>
      </c>
      <c r="D10" s="2">
        <f>_1__TOOL_USE_PER[[#This Row],[TOTAL_SESSIONS]]/7500</f>
        <v>9.64E-2</v>
      </c>
      <c r="G10" s="11" t="s">
        <v>11</v>
      </c>
      <c r="H10" s="14">
        <v>763</v>
      </c>
      <c r="I10" s="15">
        <v>0.10173333333333333</v>
      </c>
    </row>
    <row r="11" spans="1:9" x14ac:dyDescent="0.3">
      <c r="A11" t="s">
        <v>6</v>
      </c>
      <c r="B11" t="s">
        <v>7</v>
      </c>
      <c r="C11">
        <v>712</v>
      </c>
      <c r="D11" s="2">
        <f>_1__TOOL_USE_PER[[#This Row],[TOTAL_SESSIONS]]/7500</f>
        <v>9.4933333333333328E-2</v>
      </c>
      <c r="G11" s="11" t="s">
        <v>19</v>
      </c>
      <c r="H11" s="14">
        <v>761</v>
      </c>
      <c r="I11" s="15">
        <v>0.10146666666666666</v>
      </c>
    </row>
    <row r="12" spans="1:9" x14ac:dyDescent="0.3">
      <c r="G12" s="11" t="s">
        <v>13</v>
      </c>
      <c r="H12" s="14">
        <v>760</v>
      </c>
      <c r="I12" s="15">
        <v>0.10133333333333333</v>
      </c>
    </row>
    <row r="13" spans="1:9" x14ac:dyDescent="0.3">
      <c r="G13" s="11" t="s">
        <v>15</v>
      </c>
      <c r="H13" s="14">
        <v>739</v>
      </c>
      <c r="I13" s="15">
        <v>9.8533333333333334E-2</v>
      </c>
    </row>
    <row r="14" spans="1:9" x14ac:dyDescent="0.3">
      <c r="G14" s="11" t="s">
        <v>23</v>
      </c>
      <c r="H14" s="14">
        <v>739</v>
      </c>
      <c r="I14" s="15">
        <v>9.8533333333333334E-2</v>
      </c>
    </row>
    <row r="15" spans="1:9" x14ac:dyDescent="0.3">
      <c r="G15" s="11" t="s">
        <v>9</v>
      </c>
      <c r="H15" s="14">
        <v>731</v>
      </c>
      <c r="I15" s="15">
        <v>9.746666666666666E-2</v>
      </c>
    </row>
    <row r="16" spans="1:9" x14ac:dyDescent="0.3">
      <c r="G16" s="11" t="s">
        <v>5</v>
      </c>
      <c r="H16" s="14">
        <v>723</v>
      </c>
      <c r="I16" s="15">
        <v>9.64E-2</v>
      </c>
    </row>
    <row r="17" spans="7:9" x14ac:dyDescent="0.3">
      <c r="G17" s="11" t="s">
        <v>7</v>
      </c>
      <c r="H17" s="14">
        <v>712</v>
      </c>
      <c r="I17" s="15">
        <v>9.4933333333333328E-2</v>
      </c>
    </row>
    <row r="18" spans="7:9" x14ac:dyDescent="0.3">
      <c r="G18" s="11" t="s">
        <v>109</v>
      </c>
      <c r="H18" s="14">
        <v>7500</v>
      </c>
      <c r="I18" s="2">
        <v>1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B59C-511B-4688-B67F-16B1809D8A0F}">
  <dimension ref="A1:C7"/>
  <sheetViews>
    <sheetView workbookViewId="0">
      <selection activeCell="J4" sqref="J4"/>
    </sheetView>
  </sheetViews>
  <sheetFormatPr defaultRowHeight="14.4" x14ac:dyDescent="0.3"/>
  <cols>
    <col min="1" max="1" width="15.33203125" bestFit="1" customWidth="1"/>
    <col min="2" max="2" width="17.88671875" bestFit="1" customWidth="1"/>
    <col min="3" max="3" width="14.33203125" bestFit="1" customWidth="1"/>
  </cols>
  <sheetData>
    <row r="1" spans="1:3" x14ac:dyDescent="0.3">
      <c r="A1" t="s">
        <v>24</v>
      </c>
      <c r="B1" t="s">
        <v>2</v>
      </c>
      <c r="C1" t="s">
        <v>25</v>
      </c>
    </row>
    <row r="2" spans="1:3" x14ac:dyDescent="0.3">
      <c r="A2" t="s">
        <v>26</v>
      </c>
      <c r="B2">
        <v>3758</v>
      </c>
      <c r="C2" s="15">
        <f>_2__PROMPT_USE_PER[[#This Row],[TOTAL_SESSIONS]]/15000</f>
        <v>0.25053333333333333</v>
      </c>
    </row>
    <row r="3" spans="1:3" x14ac:dyDescent="0.3">
      <c r="A3" t="s">
        <v>27</v>
      </c>
      <c r="B3">
        <v>3032</v>
      </c>
      <c r="C3" s="15">
        <f>_2__PROMPT_USE_PER[[#This Row],[TOTAL_SESSIONS]]/15000</f>
        <v>0.20213333333333333</v>
      </c>
    </row>
    <row r="4" spans="1:3" x14ac:dyDescent="0.3">
      <c r="A4" t="s">
        <v>28</v>
      </c>
      <c r="B4">
        <v>2657</v>
      </c>
      <c r="C4" s="15">
        <f>_2__PROMPT_USE_PER[[#This Row],[TOTAL_SESSIONS]]/15000</f>
        <v>0.17713333333333334</v>
      </c>
    </row>
    <row r="5" spans="1:3" x14ac:dyDescent="0.3">
      <c r="A5" t="s">
        <v>29</v>
      </c>
      <c r="B5">
        <v>2242</v>
      </c>
      <c r="C5" s="15">
        <f>_2__PROMPT_USE_PER[[#This Row],[TOTAL_SESSIONS]]/15000</f>
        <v>0.14946666666666666</v>
      </c>
    </row>
    <row r="6" spans="1:3" x14ac:dyDescent="0.3">
      <c r="A6" t="s">
        <v>30</v>
      </c>
      <c r="B6">
        <v>2187</v>
      </c>
      <c r="C6" s="15">
        <f>_2__PROMPT_USE_PER[[#This Row],[TOTAL_SESSIONS]]/15000</f>
        <v>0.14580000000000001</v>
      </c>
    </row>
    <row r="7" spans="1:3" x14ac:dyDescent="0.3">
      <c r="A7" t="s">
        <v>31</v>
      </c>
      <c r="B7">
        <v>1124</v>
      </c>
      <c r="C7" s="15">
        <f>_2__PROMPT_USE_PER[[#This Row],[TOTAL_SESSIONS]]/15000</f>
        <v>7.4933333333333338E-2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B58A-B217-4039-A0B4-637C4A490FB0}">
  <dimension ref="A1:B5"/>
  <sheetViews>
    <sheetView workbookViewId="0">
      <selection activeCell="K7" sqref="K7"/>
    </sheetView>
  </sheetViews>
  <sheetFormatPr defaultRowHeight="14.4" x14ac:dyDescent="0.3"/>
  <cols>
    <col min="1" max="1" width="13.33203125" bestFit="1" customWidth="1"/>
    <col min="2" max="2" width="15.77734375" bestFit="1" customWidth="1"/>
  </cols>
  <sheetData>
    <row r="1" spans="1:2" x14ac:dyDescent="0.3">
      <c r="A1" t="s">
        <v>32</v>
      </c>
      <c r="B1" t="s">
        <v>33</v>
      </c>
    </row>
    <row r="2" spans="1:2" x14ac:dyDescent="0.3">
      <c r="A2" t="s">
        <v>34</v>
      </c>
      <c r="B2" s="1">
        <v>2.31</v>
      </c>
    </row>
    <row r="5" spans="1:2" x14ac:dyDescent="0.3">
      <c r="B5" s="1" cm="1">
        <f t="array" ref="B5">_3__AVG_PROMPTS_PER_SESSION[AVG_PROMPTS]</f>
        <v>2.31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0186-B9D0-4009-A2D0-3C28371071DC}">
  <dimension ref="A1:A7"/>
  <sheetViews>
    <sheetView workbookViewId="0">
      <selection activeCell="A8" sqref="A8"/>
    </sheetView>
  </sheetViews>
  <sheetFormatPr defaultRowHeight="14.4" x14ac:dyDescent="0.3"/>
  <cols>
    <col min="1" max="1" width="23.77734375" bestFit="1" customWidth="1"/>
  </cols>
  <sheetData>
    <row r="1" spans="1:1" x14ac:dyDescent="0.3">
      <c r="A1" t="s">
        <v>35</v>
      </c>
    </row>
    <row r="2" spans="1:1" x14ac:dyDescent="0.3">
      <c r="A2" s="4">
        <v>359.52704299999999</v>
      </c>
    </row>
    <row r="7" spans="1:1" x14ac:dyDescent="0.3">
      <c r="A7" s="4" cm="1">
        <f t="array" ref="A7">_4__AVG_TOKEN_PER_SESSION[avg token per session]</f>
        <v>359.52704299999999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D921-8D3F-4E95-8E6B-877791E1F883}">
  <dimension ref="A1:I23"/>
  <sheetViews>
    <sheetView workbookViewId="0">
      <selection activeCell="D21" sqref="D21"/>
    </sheetView>
  </sheetViews>
  <sheetFormatPr defaultRowHeight="14.4" x14ac:dyDescent="0.3"/>
  <cols>
    <col min="1" max="2" width="18.44140625" bestFit="1" customWidth="1"/>
    <col min="3" max="3" width="21.33203125" bestFit="1" customWidth="1"/>
    <col min="4" max="4" width="17.33203125" bestFit="1" customWidth="1"/>
    <col min="5" max="5" width="17.88671875" bestFit="1" customWidth="1"/>
    <col min="6" max="6" width="18.44140625" bestFit="1" customWidth="1"/>
    <col min="7" max="8" width="10.21875" bestFit="1" customWidth="1"/>
  </cols>
  <sheetData>
    <row r="1" spans="1:9" x14ac:dyDescent="0.3">
      <c r="A1" t="s">
        <v>1</v>
      </c>
      <c r="B1" t="s">
        <v>24</v>
      </c>
      <c r="C1" t="s">
        <v>36</v>
      </c>
      <c r="D1" t="s">
        <v>37</v>
      </c>
      <c r="E1" t="s">
        <v>2</v>
      </c>
      <c r="F1" t="s">
        <v>38</v>
      </c>
      <c r="G1" t="s">
        <v>39</v>
      </c>
      <c r="H1" t="s">
        <v>110</v>
      </c>
      <c r="I1" t="s">
        <v>111</v>
      </c>
    </row>
    <row r="2" spans="1:9" x14ac:dyDescent="0.3">
      <c r="A2" t="s">
        <v>17</v>
      </c>
      <c r="B2" t="s">
        <v>26</v>
      </c>
      <c r="C2">
        <v>421</v>
      </c>
      <c r="D2">
        <v>421</v>
      </c>
      <c r="E2">
        <v>327</v>
      </c>
      <c r="F2">
        <v>202339</v>
      </c>
      <c r="G2">
        <v>251</v>
      </c>
      <c r="H2">
        <f>SUM(_5__TOOL_X_PROMPT_CAT[[#This Row],[TOTAL_USERS]],_5__TOOL_X_PROMPT_CAT[[#This Row],[TOTAL_PROMPTS]],_5__TOOL_X_PROMPT_CAT[[#This Row],[TOTAL_SESSIONS]],_5__TOOL_X_PROMPT_CAT[[#This Row],[TOTAL_TOKEN_USED]],_5__TOOL_X_PROMPT_CAT[[#This Row],[TOTAL_DAYS]])</f>
        <v>203759</v>
      </c>
      <c r="I2" s="2">
        <f>_5__TOOL_X_PROMPT_CAT[[#This Row],[TOTAL SCORE]]/313434</f>
        <v>0.65008582349075084</v>
      </c>
    </row>
    <row r="3" spans="1:9" x14ac:dyDescent="0.3">
      <c r="A3" t="s">
        <v>17</v>
      </c>
      <c r="B3" t="s">
        <v>28</v>
      </c>
      <c r="C3">
        <v>307</v>
      </c>
      <c r="D3">
        <v>307</v>
      </c>
      <c r="E3">
        <v>256</v>
      </c>
      <c r="F3">
        <v>126368</v>
      </c>
      <c r="G3">
        <v>203</v>
      </c>
      <c r="H3">
        <f>SUM(_5__TOOL_X_PROMPT_CAT[[#This Row],[TOTAL_USERS]],_5__TOOL_X_PROMPT_CAT[[#This Row],[TOTAL_PROMPTS]],_5__TOOL_X_PROMPT_CAT[[#This Row],[TOTAL_SESSIONS]],_5__TOOL_X_PROMPT_CAT[[#This Row],[TOTAL_TOKEN_USED]],_5__TOOL_X_PROMPT_CAT[[#This Row],[TOTAL_DAYS]])</f>
        <v>127441</v>
      </c>
      <c r="I3" s="2">
        <f>_5__TOOL_X_PROMPT_CAT[[#This Row],[TOTAL SCORE]]/313434</f>
        <v>0.4065959659768883</v>
      </c>
    </row>
    <row r="4" spans="1:9" x14ac:dyDescent="0.3">
      <c r="A4" t="s">
        <v>21</v>
      </c>
      <c r="B4" t="s">
        <v>27</v>
      </c>
      <c r="C4">
        <v>329</v>
      </c>
      <c r="D4">
        <v>329</v>
      </c>
      <c r="E4">
        <v>274</v>
      </c>
      <c r="F4">
        <v>117975</v>
      </c>
      <c r="G4">
        <v>224</v>
      </c>
      <c r="H4">
        <f>SUM(_5__TOOL_X_PROMPT_CAT[[#This Row],[TOTAL_USERS]],_5__TOOL_X_PROMPT_CAT[[#This Row],[TOTAL_PROMPTS]],_5__TOOL_X_PROMPT_CAT[[#This Row],[TOTAL_SESSIONS]],_5__TOOL_X_PROMPT_CAT[[#This Row],[TOTAL_TOKEN_USED]],_5__TOOL_X_PROMPT_CAT[[#This Row],[TOTAL_DAYS]])</f>
        <v>119131</v>
      </c>
      <c r="I4" s="2">
        <f>_5__TOOL_X_PROMPT_CAT[[#This Row],[TOTAL SCORE]]/313434</f>
        <v>0.3800832073099919</v>
      </c>
    </row>
    <row r="5" spans="1:9" x14ac:dyDescent="0.3">
      <c r="A5" t="s">
        <v>17</v>
      </c>
      <c r="B5" t="s">
        <v>29</v>
      </c>
      <c r="C5">
        <v>242</v>
      </c>
      <c r="D5">
        <v>242</v>
      </c>
      <c r="E5">
        <v>209</v>
      </c>
      <c r="F5">
        <v>79422</v>
      </c>
      <c r="G5">
        <v>181</v>
      </c>
      <c r="H5">
        <f>SUM(_5__TOOL_X_PROMPT_CAT[[#This Row],[TOTAL_USERS]],_5__TOOL_X_PROMPT_CAT[[#This Row],[TOTAL_PROMPTS]],_5__TOOL_X_PROMPT_CAT[[#This Row],[TOTAL_SESSIONS]],_5__TOOL_X_PROMPT_CAT[[#This Row],[TOTAL_TOKEN_USED]],_5__TOOL_X_PROMPT_CAT[[#This Row],[TOTAL_DAYS]])</f>
        <v>80296</v>
      </c>
      <c r="I5" s="2">
        <f>_5__TOOL_X_PROMPT_CAT[[#This Row],[TOTAL SCORE]]/313434</f>
        <v>0.25618152465909888</v>
      </c>
    </row>
    <row r="6" spans="1:9" x14ac:dyDescent="0.3">
      <c r="A6" t="s">
        <v>5</v>
      </c>
      <c r="B6" t="s">
        <v>30</v>
      </c>
      <c r="C6">
        <v>241</v>
      </c>
      <c r="D6">
        <v>241</v>
      </c>
      <c r="E6">
        <v>195</v>
      </c>
      <c r="F6">
        <v>58447</v>
      </c>
      <c r="G6">
        <v>168</v>
      </c>
      <c r="H6">
        <f>SUM(_5__TOOL_X_PROMPT_CAT[[#This Row],[TOTAL_USERS]],_5__TOOL_X_PROMPT_CAT[[#This Row],[TOTAL_PROMPTS]],_5__TOOL_X_PROMPT_CAT[[#This Row],[TOTAL_SESSIONS]],_5__TOOL_X_PROMPT_CAT[[#This Row],[TOTAL_TOKEN_USED]],_5__TOOL_X_PROMPT_CAT[[#This Row],[TOTAL_DAYS]])</f>
        <v>59292</v>
      </c>
      <c r="I6" s="2">
        <f>_5__TOOL_X_PROMPT_CAT[[#This Row],[TOTAL SCORE]]/313434</f>
        <v>0.18916901165795669</v>
      </c>
    </row>
    <row r="7" spans="1:9" x14ac:dyDescent="0.3">
      <c r="A7" t="s">
        <v>13</v>
      </c>
      <c r="B7" t="s">
        <v>31</v>
      </c>
      <c r="C7">
        <v>127</v>
      </c>
      <c r="D7">
        <v>127</v>
      </c>
      <c r="E7">
        <v>108</v>
      </c>
      <c r="F7">
        <v>23054</v>
      </c>
      <c r="G7">
        <v>99</v>
      </c>
      <c r="H7">
        <f>SUM(_5__TOOL_X_PROMPT_CAT[[#This Row],[TOTAL_USERS]],_5__TOOL_X_PROMPT_CAT[[#This Row],[TOTAL_PROMPTS]],_5__TOOL_X_PROMPT_CAT[[#This Row],[TOTAL_SESSIONS]],_5__TOOL_X_PROMPT_CAT[[#This Row],[TOTAL_TOKEN_USED]],_5__TOOL_X_PROMPT_CAT[[#This Row],[TOTAL_DAYS]])</f>
        <v>23515</v>
      </c>
      <c r="I7" s="2">
        <f>_5__TOOL_X_PROMPT_CAT[[#This Row],[TOTAL SCORE]]/313434</f>
        <v>7.5023768959334339E-2</v>
      </c>
    </row>
    <row r="12" spans="1:9" x14ac:dyDescent="0.3">
      <c r="F12" s="10" t="s">
        <v>108</v>
      </c>
      <c r="G12" t="s">
        <v>112</v>
      </c>
    </row>
    <row r="13" spans="1:9" x14ac:dyDescent="0.3">
      <c r="F13" s="11" t="s">
        <v>17</v>
      </c>
      <c r="G13" s="2">
        <v>1.3128633141267381</v>
      </c>
    </row>
    <row r="14" spans="1:9" x14ac:dyDescent="0.3">
      <c r="F14" s="12" t="s">
        <v>29</v>
      </c>
      <c r="G14" s="2">
        <v>0.25618152465909888</v>
      </c>
    </row>
    <row r="15" spans="1:9" x14ac:dyDescent="0.3">
      <c r="F15" s="12" t="s">
        <v>26</v>
      </c>
      <c r="G15" s="2">
        <v>0.65008582349075084</v>
      </c>
    </row>
    <row r="16" spans="1:9" x14ac:dyDescent="0.3">
      <c r="F16" s="12" t="s">
        <v>28</v>
      </c>
      <c r="G16" s="2">
        <v>0.4065959659768883</v>
      </c>
    </row>
    <row r="17" spans="6:7" x14ac:dyDescent="0.3">
      <c r="F17" s="11" t="s">
        <v>21</v>
      </c>
      <c r="G17" s="2">
        <v>0.3800832073099919</v>
      </c>
    </row>
    <row r="18" spans="6:7" x14ac:dyDescent="0.3">
      <c r="F18" s="12" t="s">
        <v>27</v>
      </c>
      <c r="G18" s="2">
        <v>0.3800832073099919</v>
      </c>
    </row>
    <row r="19" spans="6:7" x14ac:dyDescent="0.3">
      <c r="F19" s="11" t="s">
        <v>5</v>
      </c>
      <c r="G19" s="2">
        <v>0.18916901165795669</v>
      </c>
    </row>
    <row r="20" spans="6:7" x14ac:dyDescent="0.3">
      <c r="F20" s="12" t="s">
        <v>30</v>
      </c>
      <c r="G20" s="2">
        <v>0.18916901165795669</v>
      </c>
    </row>
    <row r="21" spans="6:7" x14ac:dyDescent="0.3">
      <c r="F21" s="11" t="s">
        <v>13</v>
      </c>
      <c r="G21" s="2">
        <v>7.5023768959334339E-2</v>
      </c>
    </row>
    <row r="22" spans="6:7" x14ac:dyDescent="0.3">
      <c r="F22" s="12" t="s">
        <v>31</v>
      </c>
      <c r="G22" s="2">
        <v>7.5023768959334339E-2</v>
      </c>
    </row>
    <row r="23" spans="6:7" x14ac:dyDescent="0.3">
      <c r="F23" s="11" t="s">
        <v>109</v>
      </c>
      <c r="G23" s="2">
        <v>1.9571393020540209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5B7E-E115-4445-8536-B2E754610A9C}">
  <dimension ref="A1:I32"/>
  <sheetViews>
    <sheetView topLeftCell="A11" workbookViewId="0">
      <selection activeCell="A23" sqref="A23"/>
    </sheetView>
  </sheetViews>
  <sheetFormatPr defaultRowHeight="14.4" x14ac:dyDescent="0.3"/>
  <cols>
    <col min="1" max="1" width="20.77734375" bestFit="1" customWidth="1"/>
    <col min="2" max="2" width="10.109375" bestFit="1" customWidth="1"/>
    <col min="3" max="3" width="14.6640625" bestFit="1" customWidth="1"/>
    <col min="4" max="4" width="17.33203125" bestFit="1" customWidth="1"/>
    <col min="5" max="5" width="17.88671875" bestFit="1" customWidth="1"/>
    <col min="6" max="6" width="20.33203125" bestFit="1" customWidth="1"/>
    <col min="7" max="8" width="10.109375" bestFit="1" customWidth="1"/>
  </cols>
  <sheetData>
    <row r="1" spans="1:9" x14ac:dyDescent="0.3">
      <c r="A1" t="s">
        <v>1</v>
      </c>
      <c r="B1" t="s">
        <v>40</v>
      </c>
      <c r="C1" t="s">
        <v>36</v>
      </c>
      <c r="D1" t="s">
        <v>37</v>
      </c>
      <c r="E1" t="s">
        <v>2</v>
      </c>
      <c r="F1" t="s">
        <v>38</v>
      </c>
      <c r="G1" t="s">
        <v>39</v>
      </c>
      <c r="H1" t="s">
        <v>113</v>
      </c>
      <c r="I1" t="s">
        <v>114</v>
      </c>
    </row>
    <row r="2" spans="1:9" x14ac:dyDescent="0.3">
      <c r="A2" t="s">
        <v>9</v>
      </c>
      <c r="B2" t="s">
        <v>41</v>
      </c>
      <c r="C2">
        <v>23</v>
      </c>
      <c r="D2">
        <v>77</v>
      </c>
      <c r="E2">
        <v>28</v>
      </c>
      <c r="F2">
        <v>27107</v>
      </c>
      <c r="G2">
        <v>28</v>
      </c>
      <c r="H2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27263</v>
      </c>
      <c r="I2" s="3">
        <f>_6__TOOL_X_PROFESSION[[#This Row],[total score ]]/221976</f>
        <v>0.12281958409918189</v>
      </c>
    </row>
    <row r="3" spans="1:9" x14ac:dyDescent="0.3">
      <c r="A3" t="s">
        <v>17</v>
      </c>
      <c r="B3" t="s">
        <v>42</v>
      </c>
      <c r="C3">
        <v>19</v>
      </c>
      <c r="D3">
        <v>58</v>
      </c>
      <c r="E3">
        <v>22</v>
      </c>
      <c r="F3">
        <v>23452</v>
      </c>
      <c r="G3">
        <v>22</v>
      </c>
      <c r="H3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23573</v>
      </c>
      <c r="I3" s="3">
        <f>_6__TOOL_X_PROFESSION[[#This Row],[total score ]]/221976</f>
        <v>0.10619616535120914</v>
      </c>
    </row>
    <row r="4" spans="1:9" x14ac:dyDescent="0.3">
      <c r="A4" t="s">
        <v>17</v>
      </c>
      <c r="B4" t="s">
        <v>43</v>
      </c>
      <c r="C4">
        <v>21</v>
      </c>
      <c r="D4">
        <v>67</v>
      </c>
      <c r="E4">
        <v>26</v>
      </c>
      <c r="F4">
        <v>22888</v>
      </c>
      <c r="G4">
        <v>25</v>
      </c>
      <c r="H4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23027</v>
      </c>
      <c r="I4" s="3">
        <f>_6__TOOL_X_PROFESSION[[#This Row],[total score ]]/221976</f>
        <v>0.10373643997549285</v>
      </c>
    </row>
    <row r="5" spans="1:9" x14ac:dyDescent="0.3">
      <c r="A5" t="s">
        <v>9</v>
      </c>
      <c r="B5" t="s">
        <v>44</v>
      </c>
      <c r="C5">
        <v>18</v>
      </c>
      <c r="D5">
        <v>63</v>
      </c>
      <c r="E5">
        <v>23</v>
      </c>
      <c r="F5">
        <v>22535</v>
      </c>
      <c r="G5">
        <v>23</v>
      </c>
      <c r="H5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22662</v>
      </c>
      <c r="I5" s="3">
        <f>_6__TOOL_X_PROFESSION[[#This Row],[total score ]]/221976</f>
        <v>0.10209211806681803</v>
      </c>
    </row>
    <row r="6" spans="1:9" x14ac:dyDescent="0.3">
      <c r="A6" t="s">
        <v>19</v>
      </c>
      <c r="B6" t="s">
        <v>45</v>
      </c>
      <c r="C6">
        <v>19</v>
      </c>
      <c r="D6">
        <v>62</v>
      </c>
      <c r="E6">
        <v>23</v>
      </c>
      <c r="F6">
        <v>22399</v>
      </c>
      <c r="G6">
        <v>22</v>
      </c>
      <c r="H6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22525</v>
      </c>
      <c r="I6" s="3">
        <f>_6__TOOL_X_PROFESSION[[#This Row],[total score ]]/221976</f>
        <v>0.10147493422712366</v>
      </c>
    </row>
    <row r="7" spans="1:9" x14ac:dyDescent="0.3">
      <c r="A7" t="s">
        <v>23</v>
      </c>
      <c r="B7" t="s">
        <v>46</v>
      </c>
      <c r="C7">
        <v>16</v>
      </c>
      <c r="D7">
        <v>56</v>
      </c>
      <c r="E7">
        <v>20</v>
      </c>
      <c r="F7">
        <v>21566</v>
      </c>
      <c r="G7">
        <v>19</v>
      </c>
      <c r="H7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21677</v>
      </c>
      <c r="I7" s="3">
        <f>_6__TOOL_X_PROFESSION[[#This Row],[total score ]]/221976</f>
        <v>9.7654701409161354E-2</v>
      </c>
    </row>
    <row r="8" spans="1:9" x14ac:dyDescent="0.3">
      <c r="A8" t="s">
        <v>5</v>
      </c>
      <c r="B8" t="s">
        <v>47</v>
      </c>
      <c r="C8">
        <v>18</v>
      </c>
      <c r="D8">
        <v>60</v>
      </c>
      <c r="E8">
        <v>24</v>
      </c>
      <c r="F8">
        <v>21505</v>
      </c>
      <c r="G8">
        <v>24</v>
      </c>
      <c r="H8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21631</v>
      </c>
      <c r="I8" s="3">
        <f>_6__TOOL_X_PROFESSION[[#This Row],[total score ]]/221976</f>
        <v>9.7447471798753016E-2</v>
      </c>
    </row>
    <row r="9" spans="1:9" x14ac:dyDescent="0.3">
      <c r="A9" t="s">
        <v>17</v>
      </c>
      <c r="B9" t="s">
        <v>116</v>
      </c>
      <c r="C9">
        <v>16</v>
      </c>
      <c r="D9">
        <v>52</v>
      </c>
      <c r="E9">
        <v>23</v>
      </c>
      <c r="F9">
        <v>19903</v>
      </c>
      <c r="G9">
        <v>22</v>
      </c>
      <c r="H9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20016</v>
      </c>
      <c r="I9" s="3">
        <f>_6__TOOL_X_PROFESSION[[#This Row],[total score ]]/221976</f>
        <v>9.0171910476808309E-2</v>
      </c>
    </row>
    <row r="10" spans="1:9" x14ac:dyDescent="0.3">
      <c r="A10" t="s">
        <v>11</v>
      </c>
      <c r="B10" t="s">
        <v>117</v>
      </c>
      <c r="C10">
        <v>17</v>
      </c>
      <c r="D10">
        <v>56</v>
      </c>
      <c r="E10">
        <v>20</v>
      </c>
      <c r="F10">
        <v>19768</v>
      </c>
      <c r="G10">
        <v>20</v>
      </c>
      <c r="H10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19881</v>
      </c>
      <c r="I10" s="3">
        <f>_6__TOOL_X_PROFESSION[[#This Row],[total score ]]/221976</f>
        <v>8.9563736620175152E-2</v>
      </c>
    </row>
    <row r="11" spans="1:9" x14ac:dyDescent="0.3">
      <c r="A11" t="s">
        <v>21</v>
      </c>
      <c r="B11" t="s">
        <v>48</v>
      </c>
      <c r="C11">
        <v>19</v>
      </c>
      <c r="D11">
        <v>51</v>
      </c>
      <c r="E11">
        <v>21</v>
      </c>
      <c r="F11">
        <v>19609</v>
      </c>
      <c r="G11">
        <v>21</v>
      </c>
      <c r="H11">
        <f>SUM(_6__TOOL_X_PROFESSION[[#This Row],[TOTAL_USERS]],_6__TOOL_X_PROFESSION[[#This Row],[TOTAL_PROMPTS]],_6__TOOL_X_PROFESSION[[#This Row],[TOTAL_SESSIONS]],_6__TOOL_X_PROFESSION[[#This Row],[TOTAL_TOKEN_USED]],_6__TOOL_X_PROFESSION[[#This Row],[TOTAL_DAYS]])</f>
        <v>19721</v>
      </c>
      <c r="I11" s="3">
        <f>_6__TOOL_X_PROFESSION[[#This Row],[total score ]]/221976</f>
        <v>8.8842937975276606E-2</v>
      </c>
    </row>
    <row r="14" spans="1:9" x14ac:dyDescent="0.3">
      <c r="A14" s="10" t="s">
        <v>108</v>
      </c>
      <c r="B14" t="s">
        <v>115</v>
      </c>
    </row>
    <row r="15" spans="1:9" x14ac:dyDescent="0.3">
      <c r="A15" s="11" t="s">
        <v>17</v>
      </c>
      <c r="B15" s="3">
        <v>0.30010451580351027</v>
      </c>
    </row>
    <row r="16" spans="1:9" x14ac:dyDescent="0.3">
      <c r="A16" s="12" t="s">
        <v>42</v>
      </c>
      <c r="B16" s="3">
        <v>0.10619616535120914</v>
      </c>
    </row>
    <row r="17" spans="1:2" x14ac:dyDescent="0.3">
      <c r="A17" s="12" t="s">
        <v>43</v>
      </c>
      <c r="B17" s="3">
        <v>0.10373643997549285</v>
      </c>
    </row>
    <row r="18" spans="1:2" x14ac:dyDescent="0.3">
      <c r="A18" s="12" t="s">
        <v>116</v>
      </c>
      <c r="B18" s="3">
        <v>9.0171910476808309E-2</v>
      </c>
    </row>
    <row r="19" spans="1:2" x14ac:dyDescent="0.3">
      <c r="A19" s="11" t="s">
        <v>9</v>
      </c>
      <c r="B19" s="3">
        <v>0.22491170216599993</v>
      </c>
    </row>
    <row r="20" spans="1:2" x14ac:dyDescent="0.3">
      <c r="A20" s="12" t="s">
        <v>41</v>
      </c>
      <c r="B20" s="3">
        <v>0.12281958409918189</v>
      </c>
    </row>
    <row r="21" spans="1:2" x14ac:dyDescent="0.3">
      <c r="A21" s="12" t="s">
        <v>44</v>
      </c>
      <c r="B21" s="3">
        <v>0.10209211806681803</v>
      </c>
    </row>
    <row r="22" spans="1:2" x14ac:dyDescent="0.3">
      <c r="A22" s="11" t="s">
        <v>120</v>
      </c>
      <c r="B22" s="3">
        <v>0.10147493422712366</v>
      </c>
    </row>
    <row r="23" spans="1:2" x14ac:dyDescent="0.3">
      <c r="A23" s="12" t="s">
        <v>45</v>
      </c>
      <c r="B23" s="3">
        <v>0.10147493422712366</v>
      </c>
    </row>
    <row r="24" spans="1:2" x14ac:dyDescent="0.3">
      <c r="A24" s="11" t="s">
        <v>23</v>
      </c>
      <c r="B24" s="3">
        <v>9.7654701409161354E-2</v>
      </c>
    </row>
    <row r="25" spans="1:2" x14ac:dyDescent="0.3">
      <c r="A25" s="12" t="s">
        <v>46</v>
      </c>
      <c r="B25" s="3">
        <v>9.7654701409161354E-2</v>
      </c>
    </row>
    <row r="26" spans="1:2" x14ac:dyDescent="0.3">
      <c r="A26" s="11" t="s">
        <v>5</v>
      </c>
      <c r="B26" s="3">
        <v>9.7447471798753016E-2</v>
      </c>
    </row>
    <row r="27" spans="1:2" x14ac:dyDescent="0.3">
      <c r="A27" s="12" t="s">
        <v>47</v>
      </c>
      <c r="B27" s="3">
        <v>9.7447471798753016E-2</v>
      </c>
    </row>
    <row r="28" spans="1:2" x14ac:dyDescent="0.3">
      <c r="A28" s="11" t="s">
        <v>11</v>
      </c>
      <c r="B28" s="3">
        <v>8.9563736620175152E-2</v>
      </c>
    </row>
    <row r="29" spans="1:2" x14ac:dyDescent="0.3">
      <c r="A29" s="12" t="s">
        <v>117</v>
      </c>
      <c r="B29" s="3">
        <v>8.9563736620175152E-2</v>
      </c>
    </row>
    <row r="30" spans="1:2" x14ac:dyDescent="0.3">
      <c r="A30" s="11" t="s">
        <v>21</v>
      </c>
      <c r="B30" s="3">
        <v>8.8842937975276606E-2</v>
      </c>
    </row>
    <row r="31" spans="1:2" x14ac:dyDescent="0.3">
      <c r="A31" s="12" t="s">
        <v>48</v>
      </c>
      <c r="B31" s="3">
        <v>8.8842937975276606E-2</v>
      </c>
    </row>
    <row r="32" spans="1:2" x14ac:dyDescent="0.3">
      <c r="A32" s="11" t="s">
        <v>109</v>
      </c>
      <c r="B32" s="3">
        <v>0.99999999999999989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CD05-D579-4DA6-9087-0A8B72C61B15}">
  <dimension ref="A1:I34"/>
  <sheetViews>
    <sheetView workbookViewId="0">
      <selection activeCell="F31" sqref="F31"/>
    </sheetView>
  </sheetViews>
  <sheetFormatPr defaultRowHeight="14.4" x14ac:dyDescent="0.3"/>
  <cols>
    <col min="1" max="1" width="13.33203125" bestFit="1" customWidth="1"/>
    <col min="2" max="2" width="10.6640625" bestFit="1" customWidth="1"/>
    <col min="3" max="3" width="14.6640625" bestFit="1" customWidth="1"/>
    <col min="4" max="4" width="17.33203125" bestFit="1" customWidth="1"/>
    <col min="5" max="5" width="17.88671875" bestFit="1" customWidth="1"/>
    <col min="6" max="6" width="13.77734375" bestFit="1" customWidth="1"/>
    <col min="7" max="7" width="10.21875" bestFit="1" customWidth="1"/>
    <col min="8" max="8" width="14.77734375" bestFit="1" customWidth="1"/>
    <col min="9" max="9" width="7.109375" bestFit="1" customWidth="1"/>
  </cols>
  <sheetData>
    <row r="1" spans="1:9" x14ac:dyDescent="0.3">
      <c r="A1" t="s">
        <v>1</v>
      </c>
      <c r="B1" t="s">
        <v>49</v>
      </c>
      <c r="C1" t="s">
        <v>36</v>
      </c>
      <c r="D1" t="s">
        <v>37</v>
      </c>
      <c r="E1" t="s">
        <v>2</v>
      </c>
      <c r="F1" t="s">
        <v>38</v>
      </c>
      <c r="G1" t="s">
        <v>39</v>
      </c>
      <c r="H1" t="s">
        <v>118</v>
      </c>
      <c r="I1" t="s">
        <v>111</v>
      </c>
    </row>
    <row r="2" spans="1:9" x14ac:dyDescent="0.3">
      <c r="A2" t="s">
        <v>11</v>
      </c>
      <c r="B2" t="s">
        <v>50</v>
      </c>
      <c r="C2">
        <v>34</v>
      </c>
      <c r="D2">
        <v>94</v>
      </c>
      <c r="E2">
        <v>40</v>
      </c>
      <c r="F2">
        <v>35110</v>
      </c>
      <c r="G2">
        <v>39</v>
      </c>
      <c r="H2">
        <f>SUM(_7__TOOL_X_CITY[[#This Row],[TOTAL_USERS]],_7__TOOL_X_CITY[[#This Row],[TOTAL_PROMPTS]],_7__TOOL_X_CITY[[#This Row],[TOTAL_SESSIONS]],_7__TOOL_X_CITY[[#This Row],[TOTAL_TOKEN_USED]],_7__TOOL_X_CITY[[#This Row],[TOTAL_DAYS]])</f>
        <v>35317</v>
      </c>
      <c r="I2" s="2">
        <f>_7__TOOL_X_CITY[[#This Row],[TOTAL SCORE ]]/281884</f>
        <v>0.12528912602347064</v>
      </c>
    </row>
    <row r="3" spans="1:9" x14ac:dyDescent="0.3">
      <c r="A3" t="s">
        <v>17</v>
      </c>
      <c r="B3" t="s">
        <v>51</v>
      </c>
      <c r="C3">
        <v>31</v>
      </c>
      <c r="D3">
        <v>98</v>
      </c>
      <c r="E3">
        <v>36</v>
      </c>
      <c r="F3">
        <v>33997</v>
      </c>
      <c r="G3">
        <v>33</v>
      </c>
      <c r="H3">
        <f>SUM(_7__TOOL_X_CITY[[#This Row],[TOTAL_USERS]],_7__TOOL_X_CITY[[#This Row],[TOTAL_PROMPTS]],_7__TOOL_X_CITY[[#This Row],[TOTAL_SESSIONS]],_7__TOOL_X_CITY[[#This Row],[TOTAL_TOKEN_USED]],_7__TOOL_X_CITY[[#This Row],[TOTAL_DAYS]])</f>
        <v>34195</v>
      </c>
      <c r="I3" s="2">
        <f>_7__TOOL_X_CITY[[#This Row],[TOTAL SCORE ]]/281884</f>
        <v>0.12130876530771523</v>
      </c>
    </row>
    <row r="4" spans="1:9" x14ac:dyDescent="0.3">
      <c r="A4" t="s">
        <v>5</v>
      </c>
      <c r="B4" t="s">
        <v>52</v>
      </c>
      <c r="C4">
        <v>27</v>
      </c>
      <c r="D4">
        <v>86</v>
      </c>
      <c r="E4">
        <v>33</v>
      </c>
      <c r="F4">
        <v>29637</v>
      </c>
      <c r="G4">
        <v>30</v>
      </c>
      <c r="H4">
        <f>SUM(_7__TOOL_X_CITY[[#This Row],[TOTAL_USERS]],_7__TOOL_X_CITY[[#This Row],[TOTAL_PROMPTS]],_7__TOOL_X_CITY[[#This Row],[TOTAL_SESSIONS]],_7__TOOL_X_CITY[[#This Row],[TOTAL_TOKEN_USED]],_7__TOOL_X_CITY[[#This Row],[TOTAL_DAYS]])</f>
        <v>29813</v>
      </c>
      <c r="I4" s="2">
        <f>_7__TOOL_X_CITY[[#This Row],[TOTAL SCORE ]]/281884</f>
        <v>0.10576336365313391</v>
      </c>
    </row>
    <row r="5" spans="1:9" x14ac:dyDescent="0.3">
      <c r="A5" t="s">
        <v>19</v>
      </c>
      <c r="B5" t="s">
        <v>53</v>
      </c>
      <c r="C5">
        <v>23</v>
      </c>
      <c r="D5">
        <v>80</v>
      </c>
      <c r="E5">
        <v>29</v>
      </c>
      <c r="F5">
        <v>28147</v>
      </c>
      <c r="G5">
        <v>29</v>
      </c>
      <c r="H5">
        <f>SUM(_7__TOOL_X_CITY[[#This Row],[TOTAL_USERS]],_7__TOOL_X_CITY[[#This Row],[TOTAL_PROMPTS]],_7__TOOL_X_CITY[[#This Row],[TOTAL_SESSIONS]],_7__TOOL_X_CITY[[#This Row],[TOTAL_TOKEN_USED]],_7__TOOL_X_CITY[[#This Row],[TOTAL_DAYS]])</f>
        <v>28308</v>
      </c>
      <c r="I5" s="2">
        <f>_7__TOOL_X_CITY[[#This Row],[TOTAL SCORE ]]/281884</f>
        <v>0.10042428800499496</v>
      </c>
    </row>
    <row r="6" spans="1:9" x14ac:dyDescent="0.3">
      <c r="A6" t="s">
        <v>5</v>
      </c>
      <c r="B6" t="s">
        <v>54</v>
      </c>
      <c r="C6">
        <v>21</v>
      </c>
      <c r="D6">
        <v>68</v>
      </c>
      <c r="E6">
        <v>23</v>
      </c>
      <c r="F6">
        <v>27169</v>
      </c>
      <c r="G6">
        <v>23</v>
      </c>
      <c r="H6">
        <f>SUM(_7__TOOL_X_CITY[[#This Row],[TOTAL_USERS]],_7__TOOL_X_CITY[[#This Row],[TOTAL_PROMPTS]],_7__TOOL_X_CITY[[#This Row],[TOTAL_SESSIONS]],_7__TOOL_X_CITY[[#This Row],[TOTAL_TOKEN_USED]],_7__TOOL_X_CITY[[#This Row],[TOTAL_DAYS]])</f>
        <v>27304</v>
      </c>
      <c r="I6" s="2">
        <f>_7__TOOL_X_CITY[[#This Row],[TOTAL SCORE ]]/281884</f>
        <v>9.6862539200522207E-2</v>
      </c>
    </row>
    <row r="7" spans="1:9" x14ac:dyDescent="0.3">
      <c r="A7" t="s">
        <v>17</v>
      </c>
      <c r="B7" t="s">
        <v>55</v>
      </c>
      <c r="C7">
        <v>23</v>
      </c>
      <c r="D7">
        <v>68</v>
      </c>
      <c r="E7">
        <v>25</v>
      </c>
      <c r="F7">
        <v>25543</v>
      </c>
      <c r="G7">
        <v>24</v>
      </c>
      <c r="H7">
        <f>SUM(_7__TOOL_X_CITY[[#This Row],[TOTAL_USERS]],_7__TOOL_X_CITY[[#This Row],[TOTAL_PROMPTS]],_7__TOOL_X_CITY[[#This Row],[TOTAL_SESSIONS]],_7__TOOL_X_CITY[[#This Row],[TOTAL_TOKEN_USED]],_7__TOOL_X_CITY[[#This Row],[TOTAL_DAYS]])</f>
        <v>25683</v>
      </c>
      <c r="I7" s="2">
        <f>_7__TOOL_X_CITY[[#This Row],[TOTAL SCORE ]]/281884</f>
        <v>9.1111946758240983E-2</v>
      </c>
    </row>
    <row r="8" spans="1:9" x14ac:dyDescent="0.3">
      <c r="A8" t="s">
        <v>17</v>
      </c>
      <c r="B8" t="s">
        <v>56</v>
      </c>
      <c r="C8">
        <v>26</v>
      </c>
      <c r="D8">
        <v>65</v>
      </c>
      <c r="E8">
        <v>29</v>
      </c>
      <c r="F8">
        <v>25289</v>
      </c>
      <c r="G8">
        <v>28</v>
      </c>
      <c r="H8">
        <f>SUM(_7__TOOL_X_CITY[[#This Row],[TOTAL_USERS]],_7__TOOL_X_CITY[[#This Row],[TOTAL_PROMPTS]],_7__TOOL_X_CITY[[#This Row],[TOTAL_SESSIONS]],_7__TOOL_X_CITY[[#This Row],[TOTAL_TOKEN_USED]],_7__TOOL_X_CITY[[#This Row],[TOTAL_DAYS]])</f>
        <v>25437</v>
      </c>
      <c r="I8" s="2">
        <f>_7__TOOL_X_CITY[[#This Row],[TOTAL SCORE ]]/281884</f>
        <v>9.0239247349973753E-2</v>
      </c>
    </row>
    <row r="9" spans="1:9" x14ac:dyDescent="0.3">
      <c r="A9" t="s">
        <v>15</v>
      </c>
      <c r="B9" t="s">
        <v>57</v>
      </c>
      <c r="C9">
        <v>25</v>
      </c>
      <c r="D9">
        <v>70</v>
      </c>
      <c r="E9">
        <v>28</v>
      </c>
      <c r="F9">
        <v>25271</v>
      </c>
      <c r="G9">
        <v>27</v>
      </c>
      <c r="H9">
        <f>SUM(_7__TOOL_X_CITY[[#This Row],[TOTAL_USERS]],_7__TOOL_X_CITY[[#This Row],[TOTAL_PROMPTS]],_7__TOOL_X_CITY[[#This Row],[TOTAL_SESSIONS]],_7__TOOL_X_CITY[[#This Row],[TOTAL_TOKEN_USED]],_7__TOOL_X_CITY[[#This Row],[TOTAL_DAYS]])</f>
        <v>25421</v>
      </c>
      <c r="I9" s="2">
        <f>_7__TOOL_X_CITY[[#This Row],[TOTAL SCORE ]]/281884</f>
        <v>9.0182486412850676E-2</v>
      </c>
    </row>
    <row r="10" spans="1:9" x14ac:dyDescent="0.3">
      <c r="A10" t="s">
        <v>13</v>
      </c>
      <c r="B10" t="s">
        <v>58</v>
      </c>
      <c r="C10">
        <v>23</v>
      </c>
      <c r="D10">
        <v>67</v>
      </c>
      <c r="E10">
        <v>25</v>
      </c>
      <c r="F10">
        <v>25123</v>
      </c>
      <c r="G10">
        <v>24</v>
      </c>
      <c r="H10">
        <f>SUM(_7__TOOL_X_CITY[[#This Row],[TOTAL_USERS]],_7__TOOL_X_CITY[[#This Row],[TOTAL_PROMPTS]],_7__TOOL_X_CITY[[#This Row],[TOTAL_SESSIONS]],_7__TOOL_X_CITY[[#This Row],[TOTAL_TOKEN_USED]],_7__TOOL_X_CITY[[#This Row],[TOTAL_DAYS]])</f>
        <v>25262</v>
      </c>
      <c r="I10" s="2">
        <f>_7__TOOL_X_CITY[[#This Row],[TOTAL SCORE ]]/281884</f>
        <v>8.961842460019015E-2</v>
      </c>
    </row>
    <row r="11" spans="1:9" x14ac:dyDescent="0.3">
      <c r="A11" t="s">
        <v>17</v>
      </c>
      <c r="B11" t="s">
        <v>59</v>
      </c>
      <c r="C11">
        <v>18</v>
      </c>
      <c r="D11">
        <v>64</v>
      </c>
      <c r="E11">
        <v>20</v>
      </c>
      <c r="F11">
        <v>25022</v>
      </c>
      <c r="G11">
        <v>20</v>
      </c>
      <c r="H11">
        <f>SUM(_7__TOOL_X_CITY[[#This Row],[TOTAL_USERS]],_7__TOOL_X_CITY[[#This Row],[TOTAL_PROMPTS]],_7__TOOL_X_CITY[[#This Row],[TOTAL_SESSIONS]],_7__TOOL_X_CITY[[#This Row],[TOTAL_TOKEN_USED]],_7__TOOL_X_CITY[[#This Row],[TOTAL_DAYS]])</f>
        <v>25144</v>
      </c>
      <c r="I11" s="2">
        <f>_7__TOOL_X_CITY[[#This Row],[TOTAL SCORE ]]/281884</f>
        <v>8.919981268890749E-2</v>
      </c>
    </row>
    <row r="17" spans="6:7" x14ac:dyDescent="0.3">
      <c r="F17" s="10" t="s">
        <v>108</v>
      </c>
      <c r="G17" t="s">
        <v>112</v>
      </c>
    </row>
    <row r="18" spans="6:7" x14ac:dyDescent="0.3">
      <c r="F18" s="11" t="s">
        <v>5</v>
      </c>
      <c r="G18" s="2">
        <v>0.20262590285365611</v>
      </c>
    </row>
    <row r="19" spans="6:7" x14ac:dyDescent="0.3">
      <c r="F19" s="12" t="s">
        <v>54</v>
      </c>
      <c r="G19" s="2">
        <v>9.6862539200522207E-2</v>
      </c>
    </row>
    <row r="20" spans="6:7" x14ac:dyDescent="0.3">
      <c r="F20" s="12" t="s">
        <v>52</v>
      </c>
      <c r="G20" s="2">
        <v>0.10576336365313391</v>
      </c>
    </row>
    <row r="21" spans="6:7" x14ac:dyDescent="0.3">
      <c r="F21" s="11" t="s">
        <v>11</v>
      </c>
      <c r="G21" s="2">
        <v>0.12528912602347064</v>
      </c>
    </row>
    <row r="22" spans="6:7" x14ac:dyDescent="0.3">
      <c r="F22" s="12" t="s">
        <v>50</v>
      </c>
      <c r="G22" s="2">
        <v>0.12528912602347064</v>
      </c>
    </row>
    <row r="23" spans="6:7" x14ac:dyDescent="0.3">
      <c r="F23" s="11" t="s">
        <v>17</v>
      </c>
      <c r="G23" s="2">
        <v>0.39185977210483747</v>
      </c>
    </row>
    <row r="24" spans="6:7" x14ac:dyDescent="0.3">
      <c r="F24" s="12" t="s">
        <v>55</v>
      </c>
      <c r="G24" s="2">
        <v>9.1111946758240983E-2</v>
      </c>
    </row>
    <row r="25" spans="6:7" x14ac:dyDescent="0.3">
      <c r="F25" s="12" t="s">
        <v>56</v>
      </c>
      <c r="G25" s="2">
        <v>9.0239247349973753E-2</v>
      </c>
    </row>
    <row r="26" spans="6:7" x14ac:dyDescent="0.3">
      <c r="F26" s="12" t="s">
        <v>59</v>
      </c>
      <c r="G26" s="2">
        <v>8.919981268890749E-2</v>
      </c>
    </row>
    <row r="27" spans="6:7" x14ac:dyDescent="0.3">
      <c r="F27" s="12" t="s">
        <v>51</v>
      </c>
      <c r="G27" s="2">
        <v>0.12130876530771523</v>
      </c>
    </row>
    <row r="28" spans="6:7" x14ac:dyDescent="0.3">
      <c r="F28" s="11" t="s">
        <v>15</v>
      </c>
      <c r="G28" s="2">
        <v>9.0182486412850676E-2</v>
      </c>
    </row>
    <row r="29" spans="6:7" x14ac:dyDescent="0.3">
      <c r="F29" s="12" t="s">
        <v>57</v>
      </c>
      <c r="G29" s="2">
        <v>9.0182486412850676E-2</v>
      </c>
    </row>
    <row r="30" spans="6:7" x14ac:dyDescent="0.3">
      <c r="F30" s="11" t="s">
        <v>120</v>
      </c>
      <c r="G30" s="2">
        <v>0.10042428800499496</v>
      </c>
    </row>
    <row r="31" spans="6:7" x14ac:dyDescent="0.3">
      <c r="F31" s="12" t="s">
        <v>53</v>
      </c>
      <c r="G31" s="2">
        <v>0.10042428800499496</v>
      </c>
    </row>
    <row r="32" spans="6:7" x14ac:dyDescent="0.3">
      <c r="F32" s="11" t="s">
        <v>119</v>
      </c>
      <c r="G32" s="2">
        <v>8.961842460019015E-2</v>
      </c>
    </row>
    <row r="33" spans="6:7" x14ac:dyDescent="0.3">
      <c r="F33" s="12" t="s">
        <v>58</v>
      </c>
      <c r="G33" s="2">
        <v>8.961842460019015E-2</v>
      </c>
    </row>
    <row r="34" spans="6:7" x14ac:dyDescent="0.3">
      <c r="F34" s="11" t="s">
        <v>109</v>
      </c>
      <c r="G34" s="2">
        <v>1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2B27-2558-4EB6-BDA6-77AE782BD4AB}">
  <dimension ref="A1:K35"/>
  <sheetViews>
    <sheetView topLeftCell="A4" workbookViewId="0">
      <selection activeCell="K29" sqref="K29"/>
    </sheetView>
  </sheetViews>
  <sheetFormatPr defaultRowHeight="14.4" x14ac:dyDescent="0.3"/>
  <cols>
    <col min="1" max="1" width="10.21875" bestFit="1" customWidth="1"/>
    <col min="2" max="2" width="13.33203125" bestFit="1" customWidth="1"/>
    <col min="3" max="3" width="9.77734375" bestFit="1" customWidth="1"/>
    <col min="4" max="4" width="20.21875" bestFit="1" customWidth="1"/>
    <col min="5" max="5" width="16.77734375" bestFit="1" customWidth="1"/>
    <col min="6" max="6" width="16.21875" bestFit="1" customWidth="1"/>
    <col min="7" max="7" width="16.44140625" bestFit="1" customWidth="1"/>
    <col min="8" max="8" width="10.5546875" bestFit="1" customWidth="1"/>
    <col min="9" max="9" width="19" bestFit="1" customWidth="1"/>
    <col min="10" max="10" width="14.77734375" bestFit="1" customWidth="1"/>
    <col min="11" max="11" width="7.109375" bestFit="1" customWidth="1"/>
  </cols>
  <sheetData>
    <row r="1" spans="1:11" x14ac:dyDescent="0.3">
      <c r="A1" t="s">
        <v>60</v>
      </c>
      <c r="B1" t="s">
        <v>61</v>
      </c>
      <c r="C1" t="s">
        <v>49</v>
      </c>
      <c r="D1" t="s">
        <v>62</v>
      </c>
      <c r="E1" t="s">
        <v>63</v>
      </c>
      <c r="F1" t="s">
        <v>64</v>
      </c>
      <c r="G1" t="s">
        <v>38</v>
      </c>
      <c r="H1" t="s">
        <v>39</v>
      </c>
      <c r="I1" t="s">
        <v>65</v>
      </c>
      <c r="J1" t="s">
        <v>118</v>
      </c>
      <c r="K1" t="s">
        <v>123</v>
      </c>
    </row>
    <row r="2" spans="1:11" x14ac:dyDescent="0.3">
      <c r="A2" t="s">
        <v>66</v>
      </c>
      <c r="B2" t="s">
        <v>67</v>
      </c>
      <c r="C2" t="s">
        <v>58</v>
      </c>
      <c r="D2">
        <v>7</v>
      </c>
      <c r="E2">
        <v>12</v>
      </c>
      <c r="F2">
        <v>27</v>
      </c>
      <c r="G2">
        <v>9762</v>
      </c>
      <c r="H2">
        <v>12</v>
      </c>
      <c r="I2">
        <v>2545</v>
      </c>
      <c r="J2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12365</v>
      </c>
      <c r="K2" s="3">
        <f>_8__TOP_10_ENGAGED_USERS[[#This Row],[TOTAL SCORE ]]/102690</f>
        <v>0.12041094556431979</v>
      </c>
    </row>
    <row r="3" spans="1:11" x14ac:dyDescent="0.3">
      <c r="A3" t="s">
        <v>83</v>
      </c>
      <c r="B3" t="s">
        <v>84</v>
      </c>
      <c r="C3" t="s">
        <v>85</v>
      </c>
      <c r="D3">
        <v>6</v>
      </c>
      <c r="E3">
        <v>7</v>
      </c>
      <c r="F3">
        <v>19</v>
      </c>
      <c r="G3">
        <v>7959</v>
      </c>
      <c r="H3">
        <v>7</v>
      </c>
      <c r="I3">
        <v>3352</v>
      </c>
      <c r="J3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11350</v>
      </c>
      <c r="K3" s="3">
        <f>_8__TOP_10_ENGAGED_USERS[[#This Row],[TOTAL SCORE ]]/102690</f>
        <v>0.11052682831823936</v>
      </c>
    </row>
    <row r="4" spans="1:11" x14ac:dyDescent="0.3">
      <c r="A4" t="s">
        <v>68</v>
      </c>
      <c r="B4" t="s">
        <v>69</v>
      </c>
      <c r="C4" t="s">
        <v>58</v>
      </c>
      <c r="D4">
        <v>5</v>
      </c>
      <c r="E4">
        <v>8</v>
      </c>
      <c r="F4">
        <v>21</v>
      </c>
      <c r="G4">
        <v>8899</v>
      </c>
      <c r="H4">
        <v>8</v>
      </c>
      <c r="I4">
        <v>2254</v>
      </c>
      <c r="J4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11195</v>
      </c>
      <c r="K4" s="3">
        <f>_8__TOP_10_ENGAGED_USERS[[#This Row],[TOTAL SCORE ]]/102690</f>
        <v>0.10901743110332067</v>
      </c>
    </row>
    <row r="5" spans="1:11" x14ac:dyDescent="0.3">
      <c r="A5" t="s">
        <v>70</v>
      </c>
      <c r="B5" t="s">
        <v>71</v>
      </c>
      <c r="C5" t="s">
        <v>72</v>
      </c>
      <c r="D5">
        <v>7</v>
      </c>
      <c r="E5">
        <v>8</v>
      </c>
      <c r="F5">
        <v>19</v>
      </c>
      <c r="G5">
        <v>8862</v>
      </c>
      <c r="H5">
        <v>8</v>
      </c>
      <c r="I5">
        <v>1202</v>
      </c>
      <c r="J5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10106</v>
      </c>
      <c r="K5" s="3">
        <f>_8__TOP_10_ENGAGED_USERS[[#This Row],[TOTAL SCORE ]]/102690</f>
        <v>9.841269841269841E-2</v>
      </c>
    </row>
    <row r="6" spans="1:11" x14ac:dyDescent="0.3">
      <c r="A6" t="s">
        <v>73</v>
      </c>
      <c r="B6" t="s">
        <v>74</v>
      </c>
      <c r="C6" t="s">
        <v>72</v>
      </c>
      <c r="D6">
        <v>4</v>
      </c>
      <c r="E6">
        <v>8</v>
      </c>
      <c r="F6">
        <v>23</v>
      </c>
      <c r="G6">
        <v>8720</v>
      </c>
      <c r="H6">
        <v>8</v>
      </c>
      <c r="I6">
        <v>1343</v>
      </c>
      <c r="J6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10106</v>
      </c>
      <c r="K6" s="3">
        <f>_8__TOP_10_ENGAGED_USERS[[#This Row],[TOTAL SCORE ]]/102690</f>
        <v>9.841269841269841E-2</v>
      </c>
    </row>
    <row r="7" spans="1:11" x14ac:dyDescent="0.3">
      <c r="A7" t="s">
        <v>75</v>
      </c>
      <c r="B7" t="s">
        <v>76</v>
      </c>
      <c r="C7" t="s">
        <v>77</v>
      </c>
      <c r="D7">
        <v>5</v>
      </c>
      <c r="E7">
        <v>7</v>
      </c>
      <c r="F7">
        <v>18</v>
      </c>
      <c r="G7">
        <v>8625</v>
      </c>
      <c r="H7">
        <v>7</v>
      </c>
      <c r="I7">
        <v>1291</v>
      </c>
      <c r="J7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9953</v>
      </c>
      <c r="K7" s="3">
        <f>_8__TOP_10_ENGAGED_USERS[[#This Row],[TOTAL SCORE ]]/102690</f>
        <v>9.692277729087545E-2</v>
      </c>
    </row>
    <row r="8" spans="1:11" x14ac:dyDescent="0.3">
      <c r="A8" t="s">
        <v>80</v>
      </c>
      <c r="B8" t="s">
        <v>81</v>
      </c>
      <c r="C8" t="s">
        <v>82</v>
      </c>
      <c r="D8">
        <v>6</v>
      </c>
      <c r="E8">
        <v>7</v>
      </c>
      <c r="F8">
        <v>23</v>
      </c>
      <c r="G8">
        <v>8049</v>
      </c>
      <c r="H8">
        <v>7</v>
      </c>
      <c r="I8">
        <v>1404</v>
      </c>
      <c r="J8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9496</v>
      </c>
      <c r="K8" s="3">
        <f>_8__TOP_10_ENGAGED_USERS[[#This Row],[TOTAL SCORE ]]/102690</f>
        <v>9.2472490018502287E-2</v>
      </c>
    </row>
    <row r="9" spans="1:11" x14ac:dyDescent="0.3">
      <c r="A9" t="s">
        <v>78</v>
      </c>
      <c r="B9" t="s">
        <v>79</v>
      </c>
      <c r="C9" t="s">
        <v>51</v>
      </c>
      <c r="D9">
        <v>6</v>
      </c>
      <c r="E9">
        <v>9</v>
      </c>
      <c r="F9">
        <v>21</v>
      </c>
      <c r="G9">
        <v>8396</v>
      </c>
      <c r="H9">
        <v>9</v>
      </c>
      <c r="I9">
        <v>1019</v>
      </c>
      <c r="J9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9460</v>
      </c>
      <c r="K9" s="3">
        <f>_8__TOP_10_ENGAGED_USERS[[#This Row],[TOTAL SCORE ]]/102690</f>
        <v>9.2121920342779232E-2</v>
      </c>
    </row>
    <row r="10" spans="1:11" x14ac:dyDescent="0.3">
      <c r="A10" t="s">
        <v>86</v>
      </c>
      <c r="B10" t="s">
        <v>87</v>
      </c>
      <c r="C10" t="s">
        <v>88</v>
      </c>
      <c r="D10">
        <v>7</v>
      </c>
      <c r="E10">
        <v>7</v>
      </c>
      <c r="F10">
        <v>18</v>
      </c>
      <c r="G10">
        <v>7816</v>
      </c>
      <c r="H10">
        <v>7</v>
      </c>
      <c r="I10">
        <v>1514</v>
      </c>
      <c r="J10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9369</v>
      </c>
      <c r="K10" s="3">
        <f>_8__TOP_10_ENGAGED_USERS[[#This Row],[TOTAL SCORE ]]/102690</f>
        <v>9.1235758106923748E-2</v>
      </c>
    </row>
    <row r="11" spans="1:11" x14ac:dyDescent="0.3">
      <c r="A11" t="s">
        <v>89</v>
      </c>
      <c r="B11" t="s">
        <v>90</v>
      </c>
      <c r="C11" t="s">
        <v>91</v>
      </c>
      <c r="D11">
        <v>5</v>
      </c>
      <c r="E11">
        <v>5</v>
      </c>
      <c r="F11">
        <v>19</v>
      </c>
      <c r="G11">
        <v>7768</v>
      </c>
      <c r="H11">
        <v>5</v>
      </c>
      <c r="I11">
        <v>1488</v>
      </c>
      <c r="J11">
        <f>SUM(_8__TOP_10_ENGAGED_USERS[[#This Row],[TOTAL_TOOLS_USED]],_8__TOP_10_ENGAGED_USERS[[#This Row],[TOTAL_SESSION]],_8__TOP_10_ENGAGED_USERS[[#This Row],[TOTAL_PROMPT]],_8__TOP_10_ENGAGED_USERS[[#This Row],[TOTAL_TOKEN_USED]],_8__TOP_10_ENGAGED_USERS[[#This Row],[TOTAL_DAYS]],_8__TOP_10_ENGAGED_USERS[[#This Row],[total_duration_min]])</f>
        <v>9290</v>
      </c>
      <c r="K11" s="3">
        <f>_8__TOP_10_ENGAGED_USERS[[#This Row],[TOTAL SCORE ]]/102690</f>
        <v>9.0466452429642616E-2</v>
      </c>
    </row>
    <row r="14" spans="1:11" x14ac:dyDescent="0.3">
      <c r="G14" s="10" t="s">
        <v>108</v>
      </c>
      <c r="H14" t="s">
        <v>124</v>
      </c>
    </row>
    <row r="15" spans="1:11" x14ac:dyDescent="0.3">
      <c r="G15" s="11" t="s">
        <v>66</v>
      </c>
      <c r="H15" s="3">
        <v>0.12041094556431979</v>
      </c>
    </row>
    <row r="16" spans="1:11" x14ac:dyDescent="0.3">
      <c r="G16" s="12" t="s">
        <v>67</v>
      </c>
      <c r="H16" s="3">
        <v>0.12041094556431979</v>
      </c>
    </row>
    <row r="17" spans="7:8" x14ac:dyDescent="0.3">
      <c r="G17" s="11" t="s">
        <v>83</v>
      </c>
      <c r="H17" s="3">
        <v>0.11052682831823936</v>
      </c>
    </row>
    <row r="18" spans="7:8" x14ac:dyDescent="0.3">
      <c r="G18" s="12" t="s">
        <v>84</v>
      </c>
      <c r="H18" s="3">
        <v>0.11052682831823936</v>
      </c>
    </row>
    <row r="19" spans="7:8" x14ac:dyDescent="0.3">
      <c r="G19" s="11" t="s">
        <v>68</v>
      </c>
      <c r="H19" s="3">
        <v>0.10901743110332067</v>
      </c>
    </row>
    <row r="20" spans="7:8" x14ac:dyDescent="0.3">
      <c r="G20" s="12" t="s">
        <v>69</v>
      </c>
      <c r="H20" s="3">
        <v>0.10901743110332067</v>
      </c>
    </row>
    <row r="21" spans="7:8" x14ac:dyDescent="0.3">
      <c r="G21" s="11" t="s">
        <v>73</v>
      </c>
      <c r="H21" s="3">
        <v>9.841269841269841E-2</v>
      </c>
    </row>
    <row r="22" spans="7:8" x14ac:dyDescent="0.3">
      <c r="G22" s="12" t="s">
        <v>74</v>
      </c>
      <c r="H22" s="3">
        <v>9.841269841269841E-2</v>
      </c>
    </row>
    <row r="23" spans="7:8" x14ac:dyDescent="0.3">
      <c r="G23" s="11" t="s">
        <v>70</v>
      </c>
      <c r="H23" s="3">
        <v>9.841269841269841E-2</v>
      </c>
    </row>
    <row r="24" spans="7:8" x14ac:dyDescent="0.3">
      <c r="G24" s="12" t="s">
        <v>71</v>
      </c>
      <c r="H24" s="3">
        <v>9.841269841269841E-2</v>
      </c>
    </row>
    <row r="25" spans="7:8" x14ac:dyDescent="0.3">
      <c r="G25" s="11" t="s">
        <v>75</v>
      </c>
      <c r="H25" s="3">
        <v>9.692277729087545E-2</v>
      </c>
    </row>
    <row r="26" spans="7:8" x14ac:dyDescent="0.3">
      <c r="G26" s="12" t="s">
        <v>76</v>
      </c>
      <c r="H26" s="3">
        <v>9.692277729087545E-2</v>
      </c>
    </row>
    <row r="27" spans="7:8" x14ac:dyDescent="0.3">
      <c r="G27" s="11" t="s">
        <v>80</v>
      </c>
      <c r="H27" s="3">
        <v>9.2472490018502287E-2</v>
      </c>
    </row>
    <row r="28" spans="7:8" x14ac:dyDescent="0.3">
      <c r="G28" s="12" t="s">
        <v>81</v>
      </c>
      <c r="H28" s="3">
        <v>9.2472490018502287E-2</v>
      </c>
    </row>
    <row r="29" spans="7:8" x14ac:dyDescent="0.3">
      <c r="G29" s="11" t="s">
        <v>78</v>
      </c>
      <c r="H29" s="3">
        <v>9.2121920342779232E-2</v>
      </c>
    </row>
    <row r="30" spans="7:8" x14ac:dyDescent="0.3">
      <c r="G30" s="12" t="s">
        <v>79</v>
      </c>
      <c r="H30" s="3">
        <v>9.2121920342779232E-2</v>
      </c>
    </row>
    <row r="31" spans="7:8" x14ac:dyDescent="0.3">
      <c r="G31" s="11" t="s">
        <v>86</v>
      </c>
      <c r="H31" s="3">
        <v>9.1235758106923748E-2</v>
      </c>
    </row>
    <row r="32" spans="7:8" x14ac:dyDescent="0.3">
      <c r="G32" s="12" t="s">
        <v>87</v>
      </c>
      <c r="H32" s="3">
        <v>9.1235758106923748E-2</v>
      </c>
    </row>
    <row r="33" spans="7:8" x14ac:dyDescent="0.3">
      <c r="G33" s="11" t="s">
        <v>89</v>
      </c>
      <c r="H33" s="3">
        <v>9.0466452429642616E-2</v>
      </c>
    </row>
    <row r="34" spans="7:8" x14ac:dyDescent="0.3">
      <c r="G34" s="12" t="s">
        <v>90</v>
      </c>
      <c r="H34" s="3">
        <v>9.0466452429642616E-2</v>
      </c>
    </row>
    <row r="35" spans="7:8" x14ac:dyDescent="0.3">
      <c r="G35" s="11" t="s">
        <v>109</v>
      </c>
      <c r="H35" s="3">
        <v>0.99999999999999989</v>
      </c>
    </row>
  </sheetData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2E3F-9698-4BF5-9A69-786B05CBD277}">
  <dimension ref="A1:D7"/>
  <sheetViews>
    <sheetView workbookViewId="0">
      <selection activeCell="E10" sqref="E10"/>
    </sheetView>
  </sheetViews>
  <sheetFormatPr defaultRowHeight="14.4" x14ac:dyDescent="0.3"/>
  <cols>
    <col min="1" max="3" width="10.6640625" bestFit="1" customWidth="1"/>
    <col min="4" max="4" width="13.77734375" bestFit="1" customWidth="1"/>
  </cols>
  <sheetData>
    <row r="1" spans="1:4" x14ac:dyDescent="0.3">
      <c r="A1" t="s">
        <v>92</v>
      </c>
      <c r="B1" t="s">
        <v>93</v>
      </c>
      <c r="C1" t="s">
        <v>94</v>
      </c>
      <c r="D1" t="s">
        <v>95</v>
      </c>
    </row>
    <row r="2" spans="1:4" x14ac:dyDescent="0.3">
      <c r="A2" s="5" t="s">
        <v>96</v>
      </c>
      <c r="B2" s="6" t="s">
        <v>97</v>
      </c>
      <c r="C2" s="6" t="s">
        <v>98</v>
      </c>
      <c r="D2" s="7" t="s">
        <v>99</v>
      </c>
    </row>
    <row r="7" spans="1:4" x14ac:dyDescent="0.3">
      <c r="A7" t="str">
        <f>A2</f>
        <v>U0877</v>
      </c>
      <c r="B7" t="str">
        <f>B2</f>
        <v>Krishna Iyer</v>
      </c>
      <c r="C7" t="str">
        <f>D2</f>
        <v>8 Hour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26E3-EA40-4F69-9A86-3BC837C28C3B}">
  <dimension ref="A1:D5"/>
  <sheetViews>
    <sheetView workbookViewId="0">
      <selection activeCell="D6" sqref="D6"/>
    </sheetView>
  </sheetViews>
  <sheetFormatPr defaultRowHeight="14.4" x14ac:dyDescent="0.3"/>
  <cols>
    <col min="1" max="1" width="10.6640625" bestFit="1" customWidth="1"/>
    <col min="2" max="2" width="11.88671875" bestFit="1" customWidth="1"/>
    <col min="3" max="3" width="10.6640625" bestFit="1" customWidth="1"/>
    <col min="4" max="4" width="15.109375" bestFit="1" customWidth="1"/>
    <col min="5" max="7" width="10.33203125" customWidth="1"/>
  </cols>
  <sheetData>
    <row r="1" spans="1:4" x14ac:dyDescent="0.3">
      <c r="A1" s="9" t="s">
        <v>104</v>
      </c>
      <c r="B1" s="9" t="s">
        <v>105</v>
      </c>
      <c r="C1" s="9" t="s">
        <v>106</v>
      </c>
      <c r="D1" s="9" t="s">
        <v>107</v>
      </c>
    </row>
    <row r="2" spans="1:4" x14ac:dyDescent="0.3">
      <c r="A2" s="8" t="s">
        <v>100</v>
      </c>
      <c r="B2" s="8" t="s">
        <v>101</v>
      </c>
      <c r="C2" s="8" t="s">
        <v>102</v>
      </c>
      <c r="D2" s="8" t="s">
        <v>103</v>
      </c>
    </row>
    <row r="5" spans="1:4" x14ac:dyDescent="0.3">
      <c r="D5" t="str" cm="1">
        <f t="array" ref="D5">Table12[duration]</f>
        <v>5 Minutes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6479-2B94-47FC-AB8B-50DC64DDD0A9}">
  <dimension ref="A1:D1"/>
  <sheetViews>
    <sheetView workbookViewId="0">
      <selection sqref="A1:D1"/>
    </sheetView>
  </sheetViews>
  <sheetFormatPr defaultRowHeight="14.4" x14ac:dyDescent="0.3"/>
  <sheetData>
    <row r="1" spans="1:4" x14ac:dyDescent="0.3">
      <c r="A1" s="13"/>
      <c r="B1" s="13"/>
      <c r="C1" s="13"/>
      <c r="D1" s="13"/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D22D-F8AA-48A0-9922-9B391E2E52D0}">
  <dimension ref="A1"/>
  <sheetViews>
    <sheetView tabSelected="1" topLeftCell="A7" workbookViewId="0">
      <selection activeCell="O2" sqref="O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C56CA1-DF6C-4EED-BB0D-C007289FB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  TOOL USE PER</vt:lpstr>
      <vt:lpstr>2  PROMPT USE PER</vt:lpstr>
      <vt:lpstr>3.avg pro per s</vt:lpstr>
      <vt:lpstr>4  AVG TOKEN PER SESSION</vt:lpstr>
      <vt:lpstr>5  TOOL X PROMPT CAT</vt:lpstr>
      <vt:lpstr>6  TOOL X PROFESSION</vt:lpstr>
      <vt:lpstr>7  TOOL X CITY</vt:lpstr>
      <vt:lpstr>8  TOP 10 ENGAGED USERS</vt:lpstr>
      <vt:lpstr>9  LONGEST SESSION</vt:lpstr>
      <vt:lpstr>10 SHORTEST SESSION</vt:lpstr>
      <vt:lpstr>CAL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 AKASH</dc:creator>
  <cp:lastModifiedBy>L. AKASH</cp:lastModifiedBy>
  <dcterms:created xsi:type="dcterms:W3CDTF">2026-08-01T04:36:41Z</dcterms:created>
  <dcterms:modified xsi:type="dcterms:W3CDTF">2026-08-01T11:06:04Z</dcterms:modified>
</cp:coreProperties>
</file>