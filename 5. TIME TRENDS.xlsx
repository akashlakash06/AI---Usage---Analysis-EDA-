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kash\PROJECT\EXCELL WORKBOOK\"/>
    </mc:Choice>
  </mc:AlternateContent>
  <xr:revisionPtr revIDLastSave="0" documentId="13_ncr:1_{62520BFE-C4B9-4CE2-9EA8-45CEDF462840}" xr6:coauthVersionLast="47" xr6:coauthVersionMax="47" xr10:uidLastSave="{00000000-0000-0000-0000-000000000000}"/>
  <bookViews>
    <workbookView xWindow="-108" yWindow="-108" windowWidth="23256" windowHeight="12456" firstSheet="4" activeTab="7" xr2:uid="{7CBC03A7-BCD8-4D2B-A016-CFBE56625743}"/>
  </bookViews>
  <sheets>
    <sheet name="1  MONTHLY USER SIGNUPS" sheetId="2" r:id="rId1"/>
    <sheet name="2  MONTHLY SESSIONS" sheetId="3" r:id="rId2"/>
    <sheet name="3  MONTHLY TOKEN USED" sheetId="4" r:id="rId3"/>
    <sheet name="4  MONTHLY AVG SESSION DURATION" sheetId="5" r:id="rId4"/>
    <sheet name="5  DAILY USAGE TREND" sheetId="6" r:id="rId5"/>
    <sheet name="6  PEAK USAGE MONTHS" sheetId="7" r:id="rId6"/>
    <sheet name="CAL" sheetId="8" r:id="rId7"/>
    <sheet name="DASH" sheetId="1" r:id="rId8"/>
  </sheets>
  <definedNames>
    <definedName name="ExternalData_1" localSheetId="0" hidden="1">'1  MONTHLY USER SIGNUPS'!$A$1:$C$44</definedName>
    <definedName name="ExternalData_1" localSheetId="1" hidden="1">'2  MONTHLY SESSIONS'!$A$1:$C$44</definedName>
    <definedName name="ExternalData_1" localSheetId="2" hidden="1">'3  MONTHLY TOKEN USED'!$A$1:$C$44</definedName>
    <definedName name="ExternalData_1" localSheetId="3" hidden="1">'4  MONTHLY AVG SESSION DURATION'!$A$1:$D$44</definedName>
    <definedName name="ExternalData_1" localSheetId="4" hidden="1">'5  DAILY USAGE TREND'!$A$1:$G$1082</definedName>
    <definedName name="ExternalData_1" localSheetId="5" hidden="1">'6  PEAK USAGE MONTHS'!$A$1:$H$4</definedName>
  </definedNames>
  <calcPr calcId="191029"/>
  <pivotCaches>
    <pivotCache cacheId="11" r:id="rId9"/>
    <pivotCache cacheId="12" r:id="rId10"/>
    <pivotCache cacheId="13" r:id="rId11"/>
    <pivotCache cacheId="9" r:id="rId12"/>
    <pivotCache cacheId="1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" i="7" l="1"/>
  <c r="I3" i="7"/>
  <c r="I2" i="7"/>
  <c r="H2" i="6"/>
  <c r="H4" i="6"/>
  <c r="I23" i="8"/>
  <c r="H23" i="8"/>
  <c r="G23" i="8"/>
  <c r="F23" i="8"/>
  <c r="E23" i="8"/>
  <c r="D23" i="8"/>
  <c r="W8" i="1"/>
  <c r="K9" i="6"/>
  <c r="H3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G26" i="5"/>
  <c r="K8" i="6"/>
  <c r="K7" i="6"/>
  <c r="K6" i="6"/>
  <c r="K5" i="6"/>
  <c r="K4" i="6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B5DAED-84C0-4265-8A30-60AEC551B1CD}" keepAlive="1" name="Query - 1  MONTHLY USER SIGNUPS" description="Connection to the '1  MONTHLY USER SIGNUPS' query in the workbook." type="5" refreshedVersion="8" background="1" saveData="1">
    <dbPr connection="Provider=Microsoft.Mashup.OleDb.1;Data Source=$Workbook$;Location=&quot;1  MONTHLY USER SIGNUPS&quot;;Extended Properties=&quot;&quot;" command="SELECT * FROM [1  MONTHLY USER SIGNUPS]"/>
  </connection>
  <connection id="2" xr16:uid="{0D6D5503-4ED1-42F2-A80A-57AEAFD79198}" keepAlive="1" name="Query - 2  MONTHLY SESSIONS" description="Connection to the '2  MONTHLY SESSIONS' query in the workbook." type="5" refreshedVersion="8" background="1" saveData="1">
    <dbPr connection="Provider=Microsoft.Mashup.OleDb.1;Data Source=$Workbook$;Location=&quot;2  MONTHLY SESSIONS&quot;;Extended Properties=&quot;&quot;" command="SELECT * FROM [2  MONTHLY SESSIONS]"/>
  </connection>
  <connection id="3" xr16:uid="{79D0FDEA-1A01-472F-B8BB-FB61378C0E91}" keepAlive="1" name="Query - 3  MONTHLY TOKEN USED" description="Connection to the '3  MONTHLY TOKEN USED' query in the workbook." type="5" refreshedVersion="8" background="1" saveData="1">
    <dbPr connection="Provider=Microsoft.Mashup.OleDb.1;Data Source=$Workbook$;Location=&quot;3  MONTHLY TOKEN USED&quot;;Extended Properties=&quot;&quot;" command="SELECT * FROM [3  MONTHLY TOKEN USED]"/>
  </connection>
  <connection id="4" xr16:uid="{CE64E3E3-4723-4589-A1B3-6F437C5348DE}" keepAlive="1" name="Query - 4  MONTHLY AVG SESSION DURATION" description="Connection to the '4  MONTHLY AVG SESSION DURATION' query in the workbook." type="5" refreshedVersion="8" background="1" saveData="1">
    <dbPr connection="Provider=Microsoft.Mashup.OleDb.1;Data Source=$Workbook$;Location=&quot;4  MONTHLY AVG SESSION DURATION&quot;;Extended Properties=&quot;&quot;" command="SELECT * FROM [4  MONTHLY AVG SESSION DURATION]"/>
  </connection>
  <connection id="5" xr16:uid="{43EBB3E1-4E6D-4192-9672-DE9F504393E0}" keepAlive="1" name="Query - 5  DAILY USAGE TREND" description="Connection to the '5  DAILY USAGE TREND' query in the workbook." type="5" refreshedVersion="8" background="1" saveData="1">
    <dbPr connection="Provider=Microsoft.Mashup.OleDb.1;Data Source=$Workbook$;Location=&quot;5  DAILY USAGE TREND&quot;;Extended Properties=&quot;&quot;" command="SELECT * FROM [5  DAILY USAGE TREND]"/>
  </connection>
  <connection id="6" xr16:uid="{3124C664-3EBB-44BF-A29B-C24AB5FA320B}" keepAlive="1" name="Query - 6  PEAK USAGE MONTHS" description="Connection to the '6  PEAK USAGE MONTHS' query in the workbook." type="5" refreshedVersion="8" background="1" saveData="1">
    <dbPr connection="Provider=Microsoft.Mashup.OleDb.1;Data Source=$Workbook$;Location=&quot;6  PEAK USAGE MONTHS&quot;;Extended Properties=&quot;&quot;" command="SELECT * FROM [6  PEAK USAGE MONTHS]"/>
  </connection>
</connections>
</file>

<file path=xl/sharedStrings.xml><?xml version="1.0" encoding="utf-8"?>
<sst xmlns="http://schemas.openxmlformats.org/spreadsheetml/2006/main" count="1355" uniqueCount="973">
  <si>
    <t>MON_YEAR</t>
  </si>
  <si>
    <t>TOTAL_USERS</t>
  </si>
  <si>
    <t>OVERALL_AVG_USERS</t>
  </si>
  <si>
    <t>TOTAL_SESSION</t>
  </si>
  <si>
    <t>OVERALL_AVG_SESSIONS</t>
  </si>
  <si>
    <t>TOTAL_TOKEN_USED</t>
  </si>
  <si>
    <t>OVERALL_AVG_TOKEN_USED</t>
  </si>
  <si>
    <t>TOTAL_DURATION</t>
  </si>
  <si>
    <t>AVG_DURATION</t>
  </si>
  <si>
    <t>OVERALL_AVG_DURATION</t>
  </si>
  <si>
    <t>8hour58min</t>
  </si>
  <si>
    <t>4hour29min</t>
  </si>
  <si>
    <t>1hour33min</t>
  </si>
  <si>
    <t>13hour3min</t>
  </si>
  <si>
    <t>1hour38min</t>
  </si>
  <si>
    <t>18hour41min</t>
  </si>
  <si>
    <t>1hour52min</t>
  </si>
  <si>
    <t>38hour47min</t>
  </si>
  <si>
    <t>1hour46min</t>
  </si>
  <si>
    <t>31hour4min</t>
  </si>
  <si>
    <t>1hour25min</t>
  </si>
  <si>
    <t>34hour21min</t>
  </si>
  <si>
    <t>2hour1min</t>
  </si>
  <si>
    <t>46hour42min</t>
  </si>
  <si>
    <t>2hour7min</t>
  </si>
  <si>
    <t>47hour59min</t>
  </si>
  <si>
    <t>1hour30min</t>
  </si>
  <si>
    <t>44hour24min</t>
  </si>
  <si>
    <t>1hour10min</t>
  </si>
  <si>
    <t>90hour16min</t>
  </si>
  <si>
    <t>2hour9min</t>
  </si>
  <si>
    <t>76hour26min</t>
  </si>
  <si>
    <t>1hour28min</t>
  </si>
  <si>
    <t>82hour15min</t>
  </si>
  <si>
    <t>1hour27min</t>
  </si>
  <si>
    <t>63hour48min</t>
  </si>
  <si>
    <t>1hour15min</t>
  </si>
  <si>
    <t>88hour7min</t>
  </si>
  <si>
    <t>1hour31min</t>
  </si>
  <si>
    <t>118hour53min</t>
  </si>
  <si>
    <t>160hour37min</t>
  </si>
  <si>
    <t>1hour50min</t>
  </si>
  <si>
    <t>153hour24min</t>
  </si>
  <si>
    <t>93hour46min</t>
  </si>
  <si>
    <t>1hour5min</t>
  </si>
  <si>
    <t>108hour19min</t>
  </si>
  <si>
    <t>1hour2min</t>
  </si>
  <si>
    <t>183hour13min</t>
  </si>
  <si>
    <t>1hour17min</t>
  </si>
  <si>
    <t>146hour44min</t>
  </si>
  <si>
    <t>1hour20min</t>
  </si>
  <si>
    <t>145hour40min</t>
  </si>
  <si>
    <t>1hour14min</t>
  </si>
  <si>
    <t>184hour30min</t>
  </si>
  <si>
    <t>264hour8min</t>
  </si>
  <si>
    <t>226hour33min</t>
  </si>
  <si>
    <t>187hour28min</t>
  </si>
  <si>
    <t>234hour32min</t>
  </si>
  <si>
    <t>1hour22min</t>
  </si>
  <si>
    <t>305hour24min</t>
  </si>
  <si>
    <t>1hour39min</t>
  </si>
  <si>
    <t>275hour4min</t>
  </si>
  <si>
    <t>335hour15min</t>
  </si>
  <si>
    <t>281hour47min</t>
  </si>
  <si>
    <t>1hour13min</t>
  </si>
  <si>
    <t>345hour25min</t>
  </si>
  <si>
    <t>366hour12min</t>
  </si>
  <si>
    <t>421hour14min</t>
  </si>
  <si>
    <t>389hour24min</t>
  </si>
  <si>
    <t>1hour19min</t>
  </si>
  <si>
    <t>510hour49min</t>
  </si>
  <si>
    <t>1hour32min</t>
  </si>
  <si>
    <t>497hour12min</t>
  </si>
  <si>
    <t>520hour24min</t>
  </si>
  <si>
    <t>1hour26min</t>
  </si>
  <si>
    <t>649hour50min</t>
  </si>
  <si>
    <t>767hour47min</t>
  </si>
  <si>
    <t>1hour29min</t>
  </si>
  <si>
    <t>905hour49min</t>
  </si>
  <si>
    <t>1118hour22min</t>
  </si>
  <si>
    <t>222hour48min</t>
  </si>
  <si>
    <t>USAGE_DATE</t>
  </si>
  <si>
    <t>TOTAL_TOOL_USED</t>
  </si>
  <si>
    <t>TOTAL_PROMPTS</t>
  </si>
  <si>
    <t>TOTAL_SESSIONS</t>
  </si>
  <si>
    <t>14hour20min</t>
  </si>
  <si>
    <t>10hour46min</t>
  </si>
  <si>
    <t>12hour32min</t>
  </si>
  <si>
    <t>6hour30min</t>
  </si>
  <si>
    <t>0hour12min</t>
  </si>
  <si>
    <t>3hour56min</t>
  </si>
  <si>
    <t>0hour19min</t>
  </si>
  <si>
    <t>1hour48min</t>
  </si>
  <si>
    <t>0hour55min</t>
  </si>
  <si>
    <t>3hour30min</t>
  </si>
  <si>
    <t>0hour43min</t>
  </si>
  <si>
    <t>10hour24min</t>
  </si>
  <si>
    <t>7hour23min</t>
  </si>
  <si>
    <t>2hour12min</t>
  </si>
  <si>
    <t>0hour14min</t>
  </si>
  <si>
    <t>0hour32min</t>
  </si>
  <si>
    <t>5hour54min</t>
  </si>
  <si>
    <t>11hour41min</t>
  </si>
  <si>
    <t>12hour2min</t>
  </si>
  <si>
    <t>3hour42min</t>
  </si>
  <si>
    <t>2hour18min</t>
  </si>
  <si>
    <t>11hour2min</t>
  </si>
  <si>
    <t>7hour1min</t>
  </si>
  <si>
    <t>0hour24min</t>
  </si>
  <si>
    <t>4hour48min</t>
  </si>
  <si>
    <t>12hour0min</t>
  </si>
  <si>
    <t>15hour30min</t>
  </si>
  <si>
    <t>8hour18min</t>
  </si>
  <si>
    <t>0hour11min</t>
  </si>
  <si>
    <t>0hour33min</t>
  </si>
  <si>
    <t>15hour34min</t>
  </si>
  <si>
    <t>2hour15min</t>
  </si>
  <si>
    <t>9hour0min</t>
  </si>
  <si>
    <t>8hour40min</t>
  </si>
  <si>
    <t>0hour16min</t>
  </si>
  <si>
    <t>0hour31min</t>
  </si>
  <si>
    <t>2hour2min</t>
  </si>
  <si>
    <t>0hour29min</t>
  </si>
  <si>
    <t>0hour54min</t>
  </si>
  <si>
    <t>38hour23min</t>
  </si>
  <si>
    <t>0hour28min</t>
  </si>
  <si>
    <t>5hour7min</t>
  </si>
  <si>
    <t>0hour40min</t>
  </si>
  <si>
    <t>13hour9min</t>
  </si>
  <si>
    <t>1hour0min</t>
  </si>
  <si>
    <t>4hour32min</t>
  </si>
  <si>
    <t>15hour59min</t>
  </si>
  <si>
    <t>1hour6min</t>
  </si>
  <si>
    <t>3hour44min</t>
  </si>
  <si>
    <t>2hour40min</t>
  </si>
  <si>
    <t>31hour16min</t>
  </si>
  <si>
    <t>5hour24min</t>
  </si>
  <si>
    <t>0hour38min</t>
  </si>
  <si>
    <t>9hour45min</t>
  </si>
  <si>
    <t>5hour9min</t>
  </si>
  <si>
    <t>1hour55min</t>
  </si>
  <si>
    <t>3hour4min</t>
  </si>
  <si>
    <t>8hour15min</t>
  </si>
  <si>
    <t>0hour18min</t>
  </si>
  <si>
    <t>2hour38min</t>
  </si>
  <si>
    <t>3hour26min</t>
  </si>
  <si>
    <t>1hour42min</t>
  </si>
  <si>
    <t>19hour52min</t>
  </si>
  <si>
    <t>4hour53min</t>
  </si>
  <si>
    <t>4hour41min</t>
  </si>
  <si>
    <t>1hour16min</t>
  </si>
  <si>
    <t>3hour16min</t>
  </si>
  <si>
    <t>8hour38min</t>
  </si>
  <si>
    <t>2hour39min</t>
  </si>
  <si>
    <t>1hour21min</t>
  </si>
  <si>
    <t>6hour24min</t>
  </si>
  <si>
    <t>10hour48min</t>
  </si>
  <si>
    <t>1hour34min</t>
  </si>
  <si>
    <t>3hour12min</t>
  </si>
  <si>
    <t>0hour42min</t>
  </si>
  <si>
    <t>10hour36min</t>
  </si>
  <si>
    <t>0hour6min</t>
  </si>
  <si>
    <t>2hour4min</t>
  </si>
  <si>
    <t>3hour23min</t>
  </si>
  <si>
    <t>2hour47min</t>
  </si>
  <si>
    <t>8hour0min</t>
  </si>
  <si>
    <t>5hour43min</t>
  </si>
  <si>
    <t>16hour18min</t>
  </si>
  <si>
    <t>6hour56min</t>
  </si>
  <si>
    <t>1hour53min</t>
  </si>
  <si>
    <t>7hour55min</t>
  </si>
  <si>
    <t>2hour8min</t>
  </si>
  <si>
    <t>3hour50min</t>
  </si>
  <si>
    <t>2hour24min</t>
  </si>
  <si>
    <t>5hour3min</t>
  </si>
  <si>
    <t>11hour20min</t>
  </si>
  <si>
    <t>1hour12min</t>
  </si>
  <si>
    <t>9hour53min</t>
  </si>
  <si>
    <t>8hour2min</t>
  </si>
  <si>
    <t>3hour9min</t>
  </si>
  <si>
    <t>13hour59min</t>
  </si>
  <si>
    <t>9hour19min</t>
  </si>
  <si>
    <t>6hour28min</t>
  </si>
  <si>
    <t>8hour48min</t>
  </si>
  <si>
    <t>47hour44min</t>
  </si>
  <si>
    <t>0hour26min</t>
  </si>
  <si>
    <t>21hour45min</t>
  </si>
  <si>
    <t>13hour0min</t>
  </si>
  <si>
    <t>52hour26min</t>
  </si>
  <si>
    <t>10hour0min</t>
  </si>
  <si>
    <t>12hour36min</t>
  </si>
  <si>
    <t>13hour7min</t>
  </si>
  <si>
    <t>0hour30min</t>
  </si>
  <si>
    <t>2hour46min</t>
  </si>
  <si>
    <t>19hour0min</t>
  </si>
  <si>
    <t>15hour2min</t>
  </si>
  <si>
    <t>7hour45min</t>
  </si>
  <si>
    <t>27hour51min</t>
  </si>
  <si>
    <t>17hour24min</t>
  </si>
  <si>
    <t>7hour21min</t>
  </si>
  <si>
    <t>1hour4min</t>
  </si>
  <si>
    <t>5hour33min</t>
  </si>
  <si>
    <t>21hour9min</t>
  </si>
  <si>
    <t>3hour15min</t>
  </si>
  <si>
    <t>7hour44min</t>
  </si>
  <si>
    <t>3hour7min</t>
  </si>
  <si>
    <t>3hour32min</t>
  </si>
  <si>
    <t>5hour4min</t>
  </si>
  <si>
    <t>4hour28min</t>
  </si>
  <si>
    <t>1hour36min</t>
  </si>
  <si>
    <t>3hour54min</t>
  </si>
  <si>
    <t>16hour33min</t>
  </si>
  <si>
    <t>15hour6min</t>
  </si>
  <si>
    <t>26hour11min</t>
  </si>
  <si>
    <t>5hour2min</t>
  </si>
  <si>
    <t>3hour0min</t>
  </si>
  <si>
    <t>4hour0min</t>
  </si>
  <si>
    <t>5hour29min</t>
  </si>
  <si>
    <t>0hour52min</t>
  </si>
  <si>
    <t>6hour14min</t>
  </si>
  <si>
    <t>2hour43min</t>
  </si>
  <si>
    <t>8hour26min</t>
  </si>
  <si>
    <t>5hour12min</t>
  </si>
  <si>
    <t>5hour34min</t>
  </si>
  <si>
    <t>3hour39min</t>
  </si>
  <si>
    <t>1hour7min</t>
  </si>
  <si>
    <t>7hour28min</t>
  </si>
  <si>
    <t>19hour47min</t>
  </si>
  <si>
    <t>6hour10min</t>
  </si>
  <si>
    <t>10hour38min</t>
  </si>
  <si>
    <t>10hour21min</t>
  </si>
  <si>
    <t>8hour6min</t>
  </si>
  <si>
    <t>0hour10min</t>
  </si>
  <si>
    <t>11hour9min</t>
  </si>
  <si>
    <t>37hour52min</t>
  </si>
  <si>
    <t>5hour8min</t>
  </si>
  <si>
    <t>21hour27min</t>
  </si>
  <si>
    <t>19hour33min</t>
  </si>
  <si>
    <t>2hour16min</t>
  </si>
  <si>
    <t>1hour56min</t>
  </si>
  <si>
    <t>4hour43min</t>
  </si>
  <si>
    <t>1hour40min</t>
  </si>
  <si>
    <t>4hour8min</t>
  </si>
  <si>
    <t>5hour27min</t>
  </si>
  <si>
    <t>0hour39min</t>
  </si>
  <si>
    <t>6hour51min</t>
  </si>
  <si>
    <t>0hour36min</t>
  </si>
  <si>
    <t>20hour17min</t>
  </si>
  <si>
    <t>4hour46min</t>
  </si>
  <si>
    <t>23hour42min</t>
  </si>
  <si>
    <t>0hour9min</t>
  </si>
  <si>
    <t>1hour54min</t>
  </si>
  <si>
    <t>18hour54min</t>
  </si>
  <si>
    <t>10hour42min</t>
  </si>
  <si>
    <t>2hour51min</t>
  </si>
  <si>
    <t>21hour5min</t>
  </si>
  <si>
    <t>0hour44min</t>
  </si>
  <si>
    <t>20hour25min</t>
  </si>
  <si>
    <t>0hour8min</t>
  </si>
  <si>
    <t>6hour13min</t>
  </si>
  <si>
    <t>6hour48min</t>
  </si>
  <si>
    <t>2hour10min</t>
  </si>
  <si>
    <t>52hour32min</t>
  </si>
  <si>
    <t>2hour42min</t>
  </si>
  <si>
    <t>2hour29min</t>
  </si>
  <si>
    <t>21hour33min</t>
  </si>
  <si>
    <t>30hour47min</t>
  </si>
  <si>
    <t>55hour53min</t>
  </si>
  <si>
    <t>9hour15min</t>
  </si>
  <si>
    <t>37hour24min</t>
  </si>
  <si>
    <t>2hour3min</t>
  </si>
  <si>
    <t>2hour14min</t>
  </si>
  <si>
    <t>2hour55min</t>
  </si>
  <si>
    <t>12hour22min</t>
  </si>
  <si>
    <t>6hour53min</t>
  </si>
  <si>
    <t>2hour37min</t>
  </si>
  <si>
    <t>5hour48min</t>
  </si>
  <si>
    <t>1hour49min</t>
  </si>
  <si>
    <t>3hour29min</t>
  </si>
  <si>
    <t>16hour57min</t>
  </si>
  <si>
    <t>8hour51min</t>
  </si>
  <si>
    <t>9hour46min</t>
  </si>
  <si>
    <t>41hour56min</t>
  </si>
  <si>
    <t>8hour54min</t>
  </si>
  <si>
    <t>0hour7min</t>
  </si>
  <si>
    <t>31hour47min</t>
  </si>
  <si>
    <t>2hour45min</t>
  </si>
  <si>
    <t>19hour29min</t>
  </si>
  <si>
    <t>8hour20min</t>
  </si>
  <si>
    <t>11hour39min</t>
  </si>
  <si>
    <t>10hour23min</t>
  </si>
  <si>
    <t>0hour41min</t>
  </si>
  <si>
    <t>3hour36min</t>
  </si>
  <si>
    <t>30hour1min</t>
  </si>
  <si>
    <t>13hour53min</t>
  </si>
  <si>
    <t>8hour25min</t>
  </si>
  <si>
    <t>6hour29min</t>
  </si>
  <si>
    <t>3hour21min</t>
  </si>
  <si>
    <t>6hour41min</t>
  </si>
  <si>
    <t>6hour47min</t>
  </si>
  <si>
    <t>7hour0min</t>
  </si>
  <si>
    <t>17hour15min</t>
  </si>
  <si>
    <t>10hour11min</t>
  </si>
  <si>
    <t>30hour58min</t>
  </si>
  <si>
    <t>11hour45min</t>
  </si>
  <si>
    <t>9hour3min</t>
  </si>
  <si>
    <t>22hour3min</t>
  </si>
  <si>
    <t>29hour4min</t>
  </si>
  <si>
    <t>40hour49min</t>
  </si>
  <si>
    <t>37hour57min</t>
  </si>
  <si>
    <t>3hour10min</t>
  </si>
  <si>
    <t>2hour50min</t>
  </si>
  <si>
    <t>6hour55min</t>
  </si>
  <si>
    <t>6hour33min</t>
  </si>
  <si>
    <t>3hour43min</t>
  </si>
  <si>
    <t>6hour32min</t>
  </si>
  <si>
    <t>0hour21min</t>
  </si>
  <si>
    <t>4hour17min</t>
  </si>
  <si>
    <t>3hour27min</t>
  </si>
  <si>
    <t>14hour36min</t>
  </si>
  <si>
    <t>8hour28min</t>
  </si>
  <si>
    <t>17hour19min</t>
  </si>
  <si>
    <t>12hour10min</t>
  </si>
  <si>
    <t>6hour38min</t>
  </si>
  <si>
    <t>8hour1min</t>
  </si>
  <si>
    <t>9hour36min</t>
  </si>
  <si>
    <t>8hour44min</t>
  </si>
  <si>
    <t>21hour1min</t>
  </si>
  <si>
    <t>7hour30min</t>
  </si>
  <si>
    <t>0hour57min</t>
  </si>
  <si>
    <t>0hour50min</t>
  </si>
  <si>
    <t>14hour7min</t>
  </si>
  <si>
    <t>3hour51min</t>
  </si>
  <si>
    <t>6hour15min</t>
  </si>
  <si>
    <t>9hour39min</t>
  </si>
  <si>
    <t>2hour32min</t>
  </si>
  <si>
    <t>4hour3min</t>
  </si>
  <si>
    <t>14hour13min</t>
  </si>
  <si>
    <t>13hour42min</t>
  </si>
  <si>
    <t>7hour10min</t>
  </si>
  <si>
    <t>7hour29min</t>
  </si>
  <si>
    <t>17hour52min</t>
  </si>
  <si>
    <t>7hour15min</t>
  </si>
  <si>
    <t>7hour36min</t>
  </si>
  <si>
    <t>0hour20min</t>
  </si>
  <si>
    <t>0hour15min</t>
  </si>
  <si>
    <t>10hour41min</t>
  </si>
  <si>
    <t>5hour11min</t>
  </si>
  <si>
    <t>12hour50min</t>
  </si>
  <si>
    <t>1hour37min</t>
  </si>
  <si>
    <t>32hour48min</t>
  </si>
  <si>
    <t>4hour49min</t>
  </si>
  <si>
    <t>6hour46min</t>
  </si>
  <si>
    <t>4hour47min</t>
  </si>
  <si>
    <t>8hour42min</t>
  </si>
  <si>
    <t>9hour57min</t>
  </si>
  <si>
    <t>4hour23min</t>
  </si>
  <si>
    <t>18hour53min</t>
  </si>
  <si>
    <t>5hour31min</t>
  </si>
  <si>
    <t>6hour5min</t>
  </si>
  <si>
    <t>3hour5min</t>
  </si>
  <si>
    <t>3hour3min</t>
  </si>
  <si>
    <t>17hour44min</t>
  </si>
  <si>
    <t>11hour31min</t>
  </si>
  <si>
    <t>3hour18min</t>
  </si>
  <si>
    <t>10hour5min</t>
  </si>
  <si>
    <t>28hour43min</t>
  </si>
  <si>
    <t>7hour22min</t>
  </si>
  <si>
    <t>15hour23min</t>
  </si>
  <si>
    <t>37hour45min</t>
  </si>
  <si>
    <t>21hour28min</t>
  </si>
  <si>
    <t>10hour15min</t>
  </si>
  <si>
    <t>4hour44min</t>
  </si>
  <si>
    <t>23hour38min</t>
  </si>
  <si>
    <t>6hour8min</t>
  </si>
  <si>
    <t>16hour19min</t>
  </si>
  <si>
    <t>5hour47min</t>
  </si>
  <si>
    <t>10hour40min</t>
  </si>
  <si>
    <t>5hour36min</t>
  </si>
  <si>
    <t>2hour17min</t>
  </si>
  <si>
    <t>7hour41min</t>
  </si>
  <si>
    <t>15hour53min</t>
  </si>
  <si>
    <t>40hour51min</t>
  </si>
  <si>
    <t>13hour41min</t>
  </si>
  <si>
    <t>17hour50min</t>
  </si>
  <si>
    <t>10hour37min</t>
  </si>
  <si>
    <t>23hour52min</t>
  </si>
  <si>
    <t>6hour22min</t>
  </si>
  <si>
    <t>2hour59min</t>
  </si>
  <si>
    <t>9hour22min</t>
  </si>
  <si>
    <t>15hour28min</t>
  </si>
  <si>
    <t>11hour16min</t>
  </si>
  <si>
    <t>7hour50min</t>
  </si>
  <si>
    <t>5hour19min</t>
  </si>
  <si>
    <t>0hour17min</t>
  </si>
  <si>
    <t>7hour25min</t>
  </si>
  <si>
    <t>13hour31min</t>
  </si>
  <si>
    <t>14hour21min</t>
  </si>
  <si>
    <t>9hour42min</t>
  </si>
  <si>
    <t>14hour43min</t>
  </si>
  <si>
    <t>22hour20min</t>
  </si>
  <si>
    <t>14hour58min</t>
  </si>
  <si>
    <t>6hour27min</t>
  </si>
  <si>
    <t>20hour1min</t>
  </si>
  <si>
    <t>11hour55min</t>
  </si>
  <si>
    <t>8hour49min</t>
  </si>
  <si>
    <t>5hour14min</t>
  </si>
  <si>
    <t>3hour17min</t>
  </si>
  <si>
    <t>7hour33min</t>
  </si>
  <si>
    <t>7hour38min</t>
  </si>
  <si>
    <t>16hour14min</t>
  </si>
  <si>
    <t>45hour47min</t>
  </si>
  <si>
    <t>20hour8min</t>
  </si>
  <si>
    <t>19hour19min</t>
  </si>
  <si>
    <t>1hour44min</t>
  </si>
  <si>
    <t>27hour27min</t>
  </si>
  <si>
    <t>3hour48min</t>
  </si>
  <si>
    <t>2hour57min</t>
  </si>
  <si>
    <t>3hour47min</t>
  </si>
  <si>
    <t>16hour1min</t>
  </si>
  <si>
    <t>18hour30min</t>
  </si>
  <si>
    <t>5hour40min</t>
  </si>
  <si>
    <t>2hour49min</t>
  </si>
  <si>
    <t>3hour52min</t>
  </si>
  <si>
    <t>6hour58min</t>
  </si>
  <si>
    <t>19hour54min</t>
  </si>
  <si>
    <t>2hour30min</t>
  </si>
  <si>
    <t>11hour11min</t>
  </si>
  <si>
    <t>3hour34min</t>
  </si>
  <si>
    <t>13hour56min</t>
  </si>
  <si>
    <t>11hour37min</t>
  </si>
  <si>
    <t>5hour49min</t>
  </si>
  <si>
    <t>24hour58min</t>
  </si>
  <si>
    <t>21hour11min</t>
  </si>
  <si>
    <t>3hour46min</t>
  </si>
  <si>
    <t>5hour25min</t>
  </si>
  <si>
    <t>3hour40min</t>
  </si>
  <si>
    <t>23hour31min</t>
  </si>
  <si>
    <t>4hour55min</t>
  </si>
  <si>
    <t>15hour29min</t>
  </si>
  <si>
    <t>15hour13min</t>
  </si>
  <si>
    <t>4hour30min</t>
  </si>
  <si>
    <t>20hour22min</t>
  </si>
  <si>
    <t>21hour20min</t>
  </si>
  <si>
    <t>11hour34min</t>
  </si>
  <si>
    <t>27hour4min</t>
  </si>
  <si>
    <t>14hour54min</t>
  </si>
  <si>
    <t>21hour17min</t>
  </si>
  <si>
    <t>8hour13min</t>
  </si>
  <si>
    <t>28hour20min</t>
  </si>
  <si>
    <t>4hour33min</t>
  </si>
  <si>
    <t>18hour58min</t>
  </si>
  <si>
    <t>43hour56min</t>
  </si>
  <si>
    <t>48hour55min</t>
  </si>
  <si>
    <t>9hour55min</t>
  </si>
  <si>
    <t>8hour17min</t>
  </si>
  <si>
    <t>0hour58min</t>
  </si>
  <si>
    <t>22hour19min</t>
  </si>
  <si>
    <t>0hour59min</t>
  </si>
  <si>
    <t>22hour18min</t>
  </si>
  <si>
    <t>19hour43min</t>
  </si>
  <si>
    <t>25hour25min</t>
  </si>
  <si>
    <t>14hour41min</t>
  </si>
  <si>
    <t>29hour28min</t>
  </si>
  <si>
    <t>7hour32min</t>
  </si>
  <si>
    <t>3hour8min</t>
  </si>
  <si>
    <t>6hour4min</t>
  </si>
  <si>
    <t>35hour4min</t>
  </si>
  <si>
    <t>5hour21min</t>
  </si>
  <si>
    <t>8hour36min</t>
  </si>
  <si>
    <t>3hour45min</t>
  </si>
  <si>
    <t>14hour26min</t>
  </si>
  <si>
    <t>14hour2min</t>
  </si>
  <si>
    <t>20hour15min</t>
  </si>
  <si>
    <t>5hour37min</t>
  </si>
  <si>
    <t>12hour40min</t>
  </si>
  <si>
    <t>24hour21min</t>
  </si>
  <si>
    <t>11hour29min</t>
  </si>
  <si>
    <t>37hour34min</t>
  </si>
  <si>
    <t>28hour46min</t>
  </si>
  <si>
    <t>19hour4min</t>
  </si>
  <si>
    <t>16hour15min</t>
  </si>
  <si>
    <t>28hour15min</t>
  </si>
  <si>
    <t>14hour38min</t>
  </si>
  <si>
    <t>4hour45min</t>
  </si>
  <si>
    <t>7hour31min</t>
  </si>
  <si>
    <t>4hour4min</t>
  </si>
  <si>
    <t>13hour28min</t>
  </si>
  <si>
    <t>8hour4min</t>
  </si>
  <si>
    <t>32hour36min</t>
  </si>
  <si>
    <t>5hour6min</t>
  </si>
  <si>
    <t>16hour2min</t>
  </si>
  <si>
    <t>10hour30min</t>
  </si>
  <si>
    <t>3hour2min</t>
  </si>
  <si>
    <t>40hour12min</t>
  </si>
  <si>
    <t>6hour31min</t>
  </si>
  <si>
    <t>6hour3min</t>
  </si>
  <si>
    <t>7hour20min</t>
  </si>
  <si>
    <t>58hour40min</t>
  </si>
  <si>
    <t>14hour17min</t>
  </si>
  <si>
    <t>8hour34min</t>
  </si>
  <si>
    <t>24hour14min</t>
  </si>
  <si>
    <t>12hour53min</t>
  </si>
  <si>
    <t>6hour52min</t>
  </si>
  <si>
    <t>13hour39min</t>
  </si>
  <si>
    <t>29hour22min</t>
  </si>
  <si>
    <t>18hour36min</t>
  </si>
  <si>
    <t>13hour58min</t>
  </si>
  <si>
    <t>6hour44min</t>
  </si>
  <si>
    <t>38hour42min</t>
  </si>
  <si>
    <t>9hour12min</t>
  </si>
  <si>
    <t>5hour20min</t>
  </si>
  <si>
    <t>13hour26min</t>
  </si>
  <si>
    <t>9hour4min</t>
  </si>
  <si>
    <t>25hour2min</t>
  </si>
  <si>
    <t>41hour0min</t>
  </si>
  <si>
    <t>13hour16min</t>
  </si>
  <si>
    <t>15hour22min</t>
  </si>
  <si>
    <t>25hour41min</t>
  </si>
  <si>
    <t>19hour40min</t>
  </si>
  <si>
    <t>22hour2min</t>
  </si>
  <si>
    <t>7hour16min</t>
  </si>
  <si>
    <t>31hour57min</t>
  </si>
  <si>
    <t>9hour35min</t>
  </si>
  <si>
    <t>64hour21min</t>
  </si>
  <si>
    <t>26hour45min</t>
  </si>
  <si>
    <t>5hour55min</t>
  </si>
  <si>
    <t>13hour27min</t>
  </si>
  <si>
    <t>22hour24min</t>
  </si>
  <si>
    <t>50hour36min</t>
  </si>
  <si>
    <t>11hour24min</t>
  </si>
  <si>
    <t>19hour13min</t>
  </si>
  <si>
    <t>21hour35min</t>
  </si>
  <si>
    <t>3hour57min</t>
  </si>
  <si>
    <t>10hour34min</t>
  </si>
  <si>
    <t>10hour31min</t>
  </si>
  <si>
    <t>9hour25min</t>
  </si>
  <si>
    <t>46hour34min</t>
  </si>
  <si>
    <t>14hour49min</t>
  </si>
  <si>
    <t>45hour54min</t>
  </si>
  <si>
    <t>17hour22min</t>
  </si>
  <si>
    <t>5hour15min</t>
  </si>
  <si>
    <t>4hour25min</t>
  </si>
  <si>
    <t>30hour51min</t>
  </si>
  <si>
    <t>39hour4min</t>
  </si>
  <si>
    <t>83hour34min</t>
  </si>
  <si>
    <t>62hour51min</t>
  </si>
  <si>
    <t>14hour6min</t>
  </si>
  <si>
    <t>4hour42min</t>
  </si>
  <si>
    <t>28hour34min</t>
  </si>
  <si>
    <t>47hour3min</t>
  </si>
  <si>
    <t>26hour53min</t>
  </si>
  <si>
    <t>16hour5min</t>
  </si>
  <si>
    <t>13hour1min</t>
  </si>
  <si>
    <t>28hour42min</t>
  </si>
  <si>
    <t>26hour10min</t>
  </si>
  <si>
    <t>52hour24min</t>
  </si>
  <si>
    <t>36hour24min</t>
  </si>
  <si>
    <t>13hour25min</t>
  </si>
  <si>
    <t>39hour25min</t>
  </si>
  <si>
    <t>9hour21min</t>
  </si>
  <si>
    <t>14hour19min</t>
  </si>
  <si>
    <t>6hour42min</t>
  </si>
  <si>
    <t>28hour38min</t>
  </si>
  <si>
    <t>19hour46min</t>
  </si>
  <si>
    <t>71hour41min</t>
  </si>
  <si>
    <t>15hour35min</t>
  </si>
  <si>
    <t>18hour46min</t>
  </si>
  <si>
    <t>34hour50min</t>
  </si>
  <si>
    <t>37hour33min</t>
  </si>
  <si>
    <t>23hour11min</t>
  </si>
  <si>
    <t>8hour14min</t>
  </si>
  <si>
    <t>15hour50min</t>
  </si>
  <si>
    <t>24hour56min</t>
  </si>
  <si>
    <t>3hour53min</t>
  </si>
  <si>
    <t>65hour24min</t>
  </si>
  <si>
    <t>14hour29min</t>
  </si>
  <si>
    <t>13hour8min</t>
  </si>
  <si>
    <t>12hour41min</t>
  </si>
  <si>
    <t>4hour58min</t>
  </si>
  <si>
    <t>11hour1min</t>
  </si>
  <si>
    <t>15hour9min</t>
  </si>
  <si>
    <t>16hour10min</t>
  </si>
  <si>
    <t>42hour52min</t>
  </si>
  <si>
    <t>26hour50min</t>
  </si>
  <si>
    <t>71hour8min</t>
  </si>
  <si>
    <t>24hour18min</t>
  </si>
  <si>
    <t>53hour50min</t>
  </si>
  <si>
    <t>29hour29min</t>
  </si>
  <si>
    <t>56hour41min</t>
  </si>
  <si>
    <t>9hour7min</t>
  </si>
  <si>
    <t>12hour37min</t>
  </si>
  <si>
    <t>20hour2min</t>
  </si>
  <si>
    <t>31hour33min</t>
  </si>
  <si>
    <t>16hour38min</t>
  </si>
  <si>
    <t>12hour17min</t>
  </si>
  <si>
    <t>53hour28min</t>
  </si>
  <si>
    <t>34hour15min</t>
  </si>
  <si>
    <t>18hour0min</t>
  </si>
  <si>
    <t>0hour48min</t>
  </si>
  <si>
    <t>8hour37min</t>
  </si>
  <si>
    <t>5hour58min</t>
  </si>
  <si>
    <t>13hour55min</t>
  </si>
  <si>
    <t>32hour16min</t>
  </si>
  <si>
    <t>40hour5min</t>
  </si>
  <si>
    <t>19hour42min</t>
  </si>
  <si>
    <t>41hour25min</t>
  </si>
  <si>
    <t>22hour10min</t>
  </si>
  <si>
    <t>21hour41min</t>
  </si>
  <si>
    <t>7hour57min</t>
  </si>
  <si>
    <t>22hour8min</t>
  </si>
  <si>
    <t>16hour20min</t>
  </si>
  <si>
    <t>23hour12min</t>
  </si>
  <si>
    <t>29hour2min</t>
  </si>
  <si>
    <t>20hour7min</t>
  </si>
  <si>
    <t>9hour6min</t>
  </si>
  <si>
    <t>2hour26min</t>
  </si>
  <si>
    <t>14hour52min</t>
  </si>
  <si>
    <t>16hour55min</t>
  </si>
  <si>
    <t>8hour9min</t>
  </si>
  <si>
    <t>20hour54min</t>
  </si>
  <si>
    <t>27hour36min</t>
  </si>
  <si>
    <t>12hour14min</t>
  </si>
  <si>
    <t>4hour52min</t>
  </si>
  <si>
    <t>10hour56min</t>
  </si>
  <si>
    <t>19hour23min</t>
  </si>
  <si>
    <t>12hour8min</t>
  </si>
  <si>
    <t>49hour36min</t>
  </si>
  <si>
    <t>11hour25min</t>
  </si>
  <si>
    <t>38hour46min</t>
  </si>
  <si>
    <t>33hour29min</t>
  </si>
  <si>
    <t>8hour30min</t>
  </si>
  <si>
    <t>14hour24min</t>
  </si>
  <si>
    <t>30hour25min</t>
  </si>
  <si>
    <t>28hour28min</t>
  </si>
  <si>
    <t>25hour1min</t>
  </si>
  <si>
    <t>13hour19min</t>
  </si>
  <si>
    <t>18hour9min</t>
  </si>
  <si>
    <t>8hour10min</t>
  </si>
  <si>
    <t>27hour28min</t>
  </si>
  <si>
    <t>17hour40min</t>
  </si>
  <si>
    <t>3hour24min</t>
  </si>
  <si>
    <t>15hour48min</t>
  </si>
  <si>
    <t>16hour58min</t>
  </si>
  <si>
    <t>14hour16min</t>
  </si>
  <si>
    <t>51hour36min</t>
  </si>
  <si>
    <t>48hour29min</t>
  </si>
  <si>
    <t>47hour38min</t>
  </si>
  <si>
    <t>33hour12min</t>
  </si>
  <si>
    <t>8hour33min</t>
  </si>
  <si>
    <t>34hour27min</t>
  </si>
  <si>
    <t>6hour36min</t>
  </si>
  <si>
    <t>31hour49min</t>
  </si>
  <si>
    <t>37hour35min</t>
  </si>
  <si>
    <t>34hour47min</t>
  </si>
  <si>
    <t>59hour12min</t>
  </si>
  <si>
    <t>31hour37min</t>
  </si>
  <si>
    <t>16hour53min</t>
  </si>
  <si>
    <t>7hour34min</t>
  </si>
  <si>
    <t>16hour12min</t>
  </si>
  <si>
    <t>14hour42min</t>
  </si>
  <si>
    <t>11hour3min</t>
  </si>
  <si>
    <t>33hour26min</t>
  </si>
  <si>
    <t>48hour30min</t>
  </si>
  <si>
    <t>20hour49min</t>
  </si>
  <si>
    <t>9hour51min</t>
  </si>
  <si>
    <t>34hour51min</t>
  </si>
  <si>
    <t>47hour34min</t>
  </si>
  <si>
    <t>12hour54min</t>
  </si>
  <si>
    <t>43hour53min</t>
  </si>
  <si>
    <t>45hour49min</t>
  </si>
  <si>
    <t>13hour45min</t>
  </si>
  <si>
    <t>71hour43min</t>
  </si>
  <si>
    <t>7hour7min</t>
  </si>
  <si>
    <t>11hour6min</t>
  </si>
  <si>
    <t>17hour33min</t>
  </si>
  <si>
    <t>12hour46min</t>
  </si>
  <si>
    <t>11hour10min</t>
  </si>
  <si>
    <t>38hour33min</t>
  </si>
  <si>
    <t>10hour22min</t>
  </si>
  <si>
    <t>14hour28min</t>
  </si>
  <si>
    <t>20hour27min</t>
  </si>
  <si>
    <t>19hour27min</t>
  </si>
  <si>
    <t>18hour33min</t>
  </si>
  <si>
    <t>15hour16min</t>
  </si>
  <si>
    <t>30hour56min</t>
  </si>
  <si>
    <t>25hour33min</t>
  </si>
  <si>
    <t>40hour17min</t>
  </si>
  <si>
    <t>42hour7min</t>
  </si>
  <si>
    <t>17hour29min</t>
  </si>
  <si>
    <t>51hour10min</t>
  </si>
  <si>
    <t>6hour37min</t>
  </si>
  <si>
    <t>14hour33min</t>
  </si>
  <si>
    <t>29hour1min</t>
  </si>
  <si>
    <t>9hour13min</t>
  </si>
  <si>
    <t>24hour55min</t>
  </si>
  <si>
    <t>3hour14min</t>
  </si>
  <si>
    <t>30hour35min</t>
  </si>
  <si>
    <t>47hour14min</t>
  </si>
  <si>
    <t>24hour42min</t>
  </si>
  <si>
    <t>27hour22min</t>
  </si>
  <si>
    <t>29hour3min</t>
  </si>
  <si>
    <t>46hour22min</t>
  </si>
  <si>
    <t>32hour55min</t>
  </si>
  <si>
    <t>28hour5min</t>
  </si>
  <si>
    <t>27hour23min</t>
  </si>
  <si>
    <t>24hour20min</t>
  </si>
  <si>
    <t>21hour12min</t>
  </si>
  <si>
    <t>25hour3min</t>
  </si>
  <si>
    <t>62hour43min</t>
  </si>
  <si>
    <t>21hour29min</t>
  </si>
  <si>
    <t>14hour45min</t>
  </si>
  <si>
    <t>49hour22min</t>
  </si>
  <si>
    <t>15hour41min</t>
  </si>
  <si>
    <t>12hour29min</t>
  </si>
  <si>
    <t>8hour47min</t>
  </si>
  <si>
    <t>19hour21min</t>
  </si>
  <si>
    <t>21hour55min</t>
  </si>
  <si>
    <t>30hour20min</t>
  </si>
  <si>
    <t>9hour59min</t>
  </si>
  <si>
    <t>43hour9min</t>
  </si>
  <si>
    <t>17hour20min</t>
  </si>
  <si>
    <t>52hour15min</t>
  </si>
  <si>
    <t>17hour28min</t>
  </si>
  <si>
    <t>36hour58min</t>
  </si>
  <si>
    <t>24hour26min</t>
  </si>
  <si>
    <t>25hour5min</t>
  </si>
  <si>
    <t>18hour1min</t>
  </si>
  <si>
    <t>55hour14min</t>
  </si>
  <si>
    <t>15hour40min</t>
  </si>
  <si>
    <t>39hour18min</t>
  </si>
  <si>
    <t>56hour0min</t>
  </si>
  <si>
    <t>4hour39min</t>
  </si>
  <si>
    <t>19hour28min</t>
  </si>
  <si>
    <t>19hour1min</t>
  </si>
  <si>
    <t>42hour19min</t>
  </si>
  <si>
    <t>48hour44min</t>
  </si>
  <si>
    <t>37hour13min</t>
  </si>
  <si>
    <t>56hour44min</t>
  </si>
  <si>
    <t>56hour8min</t>
  </si>
  <si>
    <t>21hour23min</t>
  </si>
  <si>
    <t>40hour18min</t>
  </si>
  <si>
    <t>10hour13min</t>
  </si>
  <si>
    <t>17hour37min</t>
  </si>
  <si>
    <t>32hour40min</t>
  </si>
  <si>
    <t>34hour10min</t>
  </si>
  <si>
    <t>80hour10min</t>
  </si>
  <si>
    <t>45hour0min</t>
  </si>
  <si>
    <t>53hour4min</t>
  </si>
  <si>
    <t>24hour28min</t>
  </si>
  <si>
    <t>19hour50min</t>
  </si>
  <si>
    <t>43hour10min</t>
  </si>
  <si>
    <t>28hour29min</t>
  </si>
  <si>
    <t>22hour43min</t>
  </si>
  <si>
    <t>55hour27min</t>
  </si>
  <si>
    <t>39hour27min</t>
  </si>
  <si>
    <t>36hour9min</t>
  </si>
  <si>
    <t>34hour4min</t>
  </si>
  <si>
    <t>48hour0min</t>
  </si>
  <si>
    <t>38hour53min</t>
  </si>
  <si>
    <t>22hour5min</t>
  </si>
  <si>
    <t>83hour42min</t>
  </si>
  <si>
    <t>34hour26min</t>
  </si>
  <si>
    <t>28hour3min</t>
  </si>
  <si>
    <t>49hour45min</t>
  </si>
  <si>
    <t>7hour27min</t>
  </si>
  <si>
    <t>73hour40min</t>
  </si>
  <si>
    <t>52hour0min</t>
  </si>
  <si>
    <t>23hour10min</t>
  </si>
  <si>
    <t>31hour7min</t>
  </si>
  <si>
    <t>36hour27min</t>
  </si>
  <si>
    <t>19hour15min</t>
  </si>
  <si>
    <t>35hour32min</t>
  </si>
  <si>
    <t>9hour33min</t>
  </si>
  <si>
    <t>56hour47min</t>
  </si>
  <si>
    <t>49hour32min</t>
  </si>
  <si>
    <t>24hour33min</t>
  </si>
  <si>
    <t>30hour2min</t>
  </si>
  <si>
    <t>5hour1min</t>
  </si>
  <si>
    <t>25hour56min</t>
  </si>
  <si>
    <t>37hour42min</t>
  </si>
  <si>
    <t>31hour17min</t>
  </si>
  <si>
    <t>56hour51min</t>
  </si>
  <si>
    <t>39hour50min</t>
  </si>
  <si>
    <t>67hour59min</t>
  </si>
  <si>
    <t>22hour33min</t>
  </si>
  <si>
    <t>34hour44min</t>
  </si>
  <si>
    <t>17hour16min</t>
  </si>
  <si>
    <t>32hour4min</t>
  </si>
  <si>
    <t>25hour34min</t>
  </si>
  <si>
    <t>10hour59min</t>
  </si>
  <si>
    <t>20hour52min</t>
  </si>
  <si>
    <t>59hour11min</t>
  </si>
  <si>
    <t>80hour12min</t>
  </si>
  <si>
    <t>20hour0min</t>
  </si>
  <si>
    <t>75hour39min</t>
  </si>
  <si>
    <t>42hour47min</t>
  </si>
  <si>
    <t>57hour2min</t>
  </si>
  <si>
    <t>46hour44min</t>
  </si>
  <si>
    <t>31hour42min</t>
  </si>
  <si>
    <t>24hour53min</t>
  </si>
  <si>
    <t>39hour16min</t>
  </si>
  <si>
    <t>32hour42min</t>
  </si>
  <si>
    <t>22hour16min</t>
  </si>
  <si>
    <t>23hour32min</t>
  </si>
  <si>
    <t>33hour1min</t>
  </si>
  <si>
    <t>57hour14min</t>
  </si>
  <si>
    <t>36hour7min</t>
  </si>
  <si>
    <t>31hour39min</t>
  </si>
  <si>
    <t>85hour32min</t>
  </si>
  <si>
    <t>21hour40min</t>
  </si>
  <si>
    <t>22hour22min</t>
  </si>
  <si>
    <t>32hour15min</t>
  </si>
  <si>
    <t>80hour4min</t>
  </si>
  <si>
    <t>38hour51min</t>
  </si>
  <si>
    <t>39hour17min</t>
  </si>
  <si>
    <t>66hour23min</t>
  </si>
  <si>
    <t>64hour59min</t>
  </si>
  <si>
    <t>48hour58min</t>
  </si>
  <si>
    <t>51hour13min</t>
  </si>
  <si>
    <t>39hour57min</t>
  </si>
  <si>
    <t>39hour52min</t>
  </si>
  <si>
    <t>65hour52min</t>
  </si>
  <si>
    <t>53hour45min</t>
  </si>
  <si>
    <t>15hour3min</t>
  </si>
  <si>
    <t>56hour26min</t>
  </si>
  <si>
    <t>14hour12min</t>
  </si>
  <si>
    <t>113hour0min</t>
  </si>
  <si>
    <t>21hour44min</t>
  </si>
  <si>
    <t>54hour2min</t>
  </si>
  <si>
    <t>96hour18min</t>
  </si>
  <si>
    <t>47hour52min</t>
  </si>
  <si>
    <t>60hour26min</t>
  </si>
  <si>
    <t>87hour34min</t>
  </si>
  <si>
    <t>39hour44min</t>
  </si>
  <si>
    <t>63hour55min</t>
  </si>
  <si>
    <t>34hour53min</t>
  </si>
  <si>
    <t>46hour39min</t>
  </si>
  <si>
    <t>30hour33min</t>
  </si>
  <si>
    <t>77hour44min</t>
  </si>
  <si>
    <t>22hour49min</t>
  </si>
  <si>
    <t>35hour2min</t>
  </si>
  <si>
    <t>49hour33min</t>
  </si>
  <si>
    <t>90hour55min</t>
  </si>
  <si>
    <t>37hour48min</t>
  </si>
  <si>
    <t>70hour59min</t>
  </si>
  <si>
    <t>77hour52min</t>
  </si>
  <si>
    <t>58hour5min</t>
  </si>
  <si>
    <t>76hour36min</t>
  </si>
  <si>
    <t>19hour10min</t>
  </si>
  <si>
    <t>16hour32min</t>
  </si>
  <si>
    <t>79hour57min</t>
  </si>
  <si>
    <t>42hour46min</t>
  </si>
  <si>
    <t>78hour49min</t>
  </si>
  <si>
    <t>28hour44min</t>
  </si>
  <si>
    <t>33hour22min</t>
  </si>
  <si>
    <t>37hour58min</t>
  </si>
  <si>
    <t>21hour7min</t>
  </si>
  <si>
    <t>84hour50min</t>
  </si>
  <si>
    <t>62hour37min</t>
  </si>
  <si>
    <t>28hour51min</t>
  </si>
  <si>
    <t>41hour34min</t>
  </si>
  <si>
    <t>48hour59min</t>
  </si>
  <si>
    <t>83hour30min</t>
  </si>
  <si>
    <t>39hour2min</t>
  </si>
  <si>
    <t>80hour14min</t>
  </si>
  <si>
    <t>30hour32min</t>
  </si>
  <si>
    <t>87hour19min</t>
  </si>
  <si>
    <t>85hour11min</t>
  </si>
  <si>
    <t>34hour6min</t>
  </si>
  <si>
    <t>59hour1min</t>
  </si>
  <si>
    <t>33hour44min</t>
  </si>
  <si>
    <t>43hour29min</t>
  </si>
  <si>
    <t>33hour48min</t>
  </si>
  <si>
    <t>48hour24min</t>
  </si>
  <si>
    <t>71hour26min</t>
  </si>
  <si>
    <t>59hour22min</t>
  </si>
  <si>
    <t>43hour16min</t>
  </si>
  <si>
    <t>105hour30min</t>
  </si>
  <si>
    <t>36hour8min</t>
  </si>
  <si>
    <t>82hour42min</t>
  </si>
  <si>
    <t>51hour58min</t>
  </si>
  <si>
    <t>66hour41min</t>
  </si>
  <si>
    <t>47hour49min</t>
  </si>
  <si>
    <t>41hour50min</t>
  </si>
  <si>
    <t>116hour51min</t>
  </si>
  <si>
    <t>75hour45min</t>
  </si>
  <si>
    <t>60hour15min</t>
  </si>
  <si>
    <t>77hour50min</t>
  </si>
  <si>
    <t>60hour20min</t>
  </si>
  <si>
    <t>58hour37min</t>
  </si>
  <si>
    <t>67hour58min</t>
  </si>
  <si>
    <t>142hour42min</t>
  </si>
  <si>
    <t>30hour12min</t>
  </si>
  <si>
    <t>65hour31min</t>
  </si>
  <si>
    <t>56hour45min</t>
  </si>
  <si>
    <t>55hour36min</t>
  </si>
  <si>
    <t>54hour26min</t>
  </si>
  <si>
    <t>63hour19min</t>
  </si>
  <si>
    <t>35hour39min</t>
  </si>
  <si>
    <t>71hour19min</t>
  </si>
  <si>
    <t>84hour20min</t>
  </si>
  <si>
    <t>87hour6min</t>
  </si>
  <si>
    <t>121hour52min</t>
  </si>
  <si>
    <t>73hour59min</t>
  </si>
  <si>
    <t>75hour38min</t>
  </si>
  <si>
    <t>61hour53min</t>
  </si>
  <si>
    <t>80hour3min</t>
  </si>
  <si>
    <t>80hour48min</t>
  </si>
  <si>
    <t>123hour55min</t>
  </si>
  <si>
    <t>83hour6min</t>
  </si>
  <si>
    <t>77hour14min</t>
  </si>
  <si>
    <t>72hour49min</t>
  </si>
  <si>
    <t>83hour32min</t>
  </si>
  <si>
    <t>84hour59min</t>
  </si>
  <si>
    <t>53hour30min</t>
  </si>
  <si>
    <t>71hour44min</t>
  </si>
  <si>
    <t>104hour18min</t>
  </si>
  <si>
    <t>141hour19min</t>
  </si>
  <si>
    <t>100hour26min</t>
  </si>
  <si>
    <t>PEAK_RANK</t>
  </si>
  <si>
    <t>MONTH</t>
  </si>
  <si>
    <t>TOTAL_TOOLS_USED</t>
  </si>
  <si>
    <t>2179hour18min</t>
  </si>
  <si>
    <t>1740hour59min</t>
  </si>
  <si>
    <t>1602hour34min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</si>
  <si>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</si>
  <si>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</si>
  <si>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</si>
  <si>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</si>
  <si>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</si>
  <si>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</si>
  <si>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</si>
  <si>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</si>
  <si>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</si>
  <si>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</si>
  <si>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</si>
  <si>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</si>
  <si>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</si>
  <si>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</si>
  <si>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TOTAL USERS</t>
  </si>
  <si>
    <t>MONTHS</t>
  </si>
  <si>
    <t>1.MONTHLY USER SIGNUPS</t>
  </si>
  <si>
    <t>2. MONTHLY SESSIONS</t>
  </si>
  <si>
    <t>TOTAL SESSIONS</t>
  </si>
  <si>
    <t>Sum of TOTAL_TOKEN_USED</t>
  </si>
  <si>
    <t>3. MONTHLY TOKENS</t>
  </si>
  <si>
    <t>Sum of TOTAL_DURATION</t>
  </si>
  <si>
    <t>4. MONTHLY SESSION DURATION</t>
  </si>
  <si>
    <t>USERS</t>
  </si>
  <si>
    <t>TOOLS</t>
  </si>
  <si>
    <t>PROMPTS</t>
  </si>
  <si>
    <t>TOKENS</t>
  </si>
  <si>
    <t>SESSIONS</t>
  </si>
  <si>
    <t>DURATION</t>
  </si>
  <si>
    <t>Column1</t>
  </si>
  <si>
    <t>Average of TOTAL_USERS</t>
  </si>
  <si>
    <t>Average of TOTAL_TOOL_USED</t>
  </si>
  <si>
    <t>Average of TOTAL_PROMPTS</t>
  </si>
  <si>
    <t>Average of TOTAL_TOKEN_USED</t>
  </si>
  <si>
    <t>Average of TOTAL_SESSIONS</t>
  </si>
  <si>
    <t>5. DAILY USAGE TREND</t>
  </si>
  <si>
    <t>Average DURATION</t>
  </si>
  <si>
    <t>6. PEAK USAGE MONTH</t>
  </si>
  <si>
    <t>2179 h</t>
  </si>
  <si>
    <t>1740 h</t>
  </si>
  <si>
    <t>1602 h</t>
  </si>
  <si>
    <t>2023</t>
  </si>
  <si>
    <t>2024</t>
  </si>
  <si>
    <t>2025</t>
  </si>
  <si>
    <t>2026</t>
  </si>
  <si>
    <t>Sum of TOTAL_USERS</t>
  </si>
  <si>
    <t>Sum of TOTAL_SESSION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</si>
</sst>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\.00,&quot;L&quot;"/>
    <numFmt numFmtId="165" formatCode="[$-14009]hh:mm:ss;@"/>
    <numFmt numFmtId="166" formatCode="[$-F400]h:mm:ss\ AM/PM"/>
    <numFmt numFmtId="167" formatCode="0.00&quot;L&quot;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pivotButton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166" fontId="0" fillId="0" borderId="0" xfId="0" applyNumberFormat="1"/>
    <xf numFmtId="166" fontId="0" fillId="0" borderId="1" xfId="0" applyNumberFormat="1" applyBorder="1"/>
    <xf numFmtId="46" fontId="0" fillId="0" borderId="0" xfId="0" applyNumberFormat="1"/>
    <xf numFmtId="21" fontId="0" fillId="0" borderId="0" xfId="0" applyNumberFormat="1"/>
    <xf numFmtId="0" fontId="0" fillId="4" borderId="1" xfId="0" applyFill="1" applyBorder="1" applyAlignment="1">
      <alignment horizontal="center"/>
    </xf>
    <xf numFmtId="17" fontId="0" fillId="0" borderId="0" xfId="0" applyNumberFormat="1"/>
    <xf numFmtId="17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NumberFormat="1"/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39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[$-F400]h:mm:ss\ AM/PM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numFmt numFmtId="26" formatCode="hh:mm:ss"/>
    </dxf>
    <dxf>
      <numFmt numFmtId="0" formatCode="General"/>
    </dxf>
    <dxf>
      <numFmt numFmtId="22" formatCode="mmm/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colors>
    <mruColors>
      <color rgb="FF00B0A3"/>
      <color rgb="FFFF7722"/>
      <color rgb="FFC04000"/>
      <color rgb="FF00A296"/>
      <color rgb="FF00BB8B"/>
      <color rgb="FF00C4B4"/>
      <color rgb="FFFA6D04"/>
      <color rgb="FF00A896"/>
      <color rgb="FF1B4D3E"/>
      <color rgb="FF3B44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[5. TIME TRENDS.xlsx]CAL!PivotTable2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50000">
                <a:srgbClr val="00B0A3"/>
              </a:gs>
              <a:gs pos="50000">
                <a:srgbClr val="FF7722"/>
              </a:gs>
            </a:gsLst>
            <a:path path="circle">
              <a:fillToRect l="100000" t="100000"/>
            </a:path>
            <a:tileRect r="-100000" b="-100000"/>
          </a:gradFill>
          <a:ln w="1270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50000">
                <a:srgbClr val="00B0A3"/>
              </a:gs>
              <a:gs pos="50000">
                <a:srgbClr val="FF7722"/>
              </a:gs>
            </a:gsLst>
            <a:path path="circle">
              <a:fillToRect l="100000" t="100000"/>
            </a:path>
            <a:tileRect r="-100000" b="-100000"/>
          </a:gradFill>
          <a:ln w="12700">
            <a:solidFill>
              <a:schemeClr val="bg1"/>
            </a:solidFill>
          </a:ln>
          <a:effectLst/>
        </c:spPr>
        <c:dLbl>
          <c:idx val="0"/>
          <c:layout>
            <c:manualLayout>
              <c:x val="-5.7437991823038688E-17"/>
              <c:y val="1.23348873348873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flip="none" rotWithShape="1">
            <a:gsLst>
              <a:gs pos="50000">
                <a:srgbClr val="00B0A3"/>
              </a:gs>
              <a:gs pos="50000">
                <a:srgbClr val="FF7722"/>
              </a:gs>
            </a:gsLst>
            <a:path path="circle">
              <a:fillToRect l="100000" t="100000"/>
            </a:path>
            <a:tileRect r="-100000" b="-100000"/>
          </a:gradFill>
          <a:ln w="12700">
            <a:solidFill>
              <a:schemeClr val="bg1"/>
            </a:solidFill>
          </a:ln>
          <a:effectLst/>
        </c:spPr>
        <c:dLbl>
          <c:idx val="0"/>
          <c:layout>
            <c:manualLayout>
              <c:x val="3.1808527690951349E-3"/>
              <c:y val="-6.42927794263105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4304219764366433E-2"/>
          <c:y val="0.1255016339869281"/>
          <c:w val="0.96182455101638054"/>
          <c:h val="0.664585784313725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CAL!$B$2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50000">
                  <a:srgbClr val="00B0A3"/>
                </a:gs>
                <a:gs pos="50000">
                  <a:srgbClr val="FF7722"/>
                </a:gs>
              </a:gsLst>
              <a:path path="circle">
                <a:fillToRect l="100000" t="100000"/>
              </a:path>
              <a:tileRect r="-100000" b="-100000"/>
            </a:gradFill>
            <a:ln w="12700">
              <a:solidFill>
                <a:schemeClr val="bg1"/>
              </a:solidFill>
            </a:ln>
            <a:effectLst/>
          </c:spPr>
          <c:invertIfNegative val="0"/>
          <c:dPt>
            <c:idx val="5"/>
            <c:invertIfNegative val="0"/>
            <c:bubble3D val="0"/>
            <c:spPr>
              <a:gradFill flip="none" rotWithShape="1">
                <a:gsLst>
                  <a:gs pos="50000">
                    <a:srgbClr val="00B0A3"/>
                  </a:gs>
                  <a:gs pos="50000">
                    <a:srgbClr val="FF7722"/>
                  </a:gs>
                </a:gsLst>
                <a:path path="circle">
                  <a:fillToRect l="100000" t="100000"/>
                </a:path>
                <a:tileRect r="-100000" b="-100000"/>
              </a:gradFill>
              <a:ln w="127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42-4544-B8AB-9FC15D35C350}"/>
              </c:ext>
            </c:extLst>
          </c:dPt>
          <c:dPt>
            <c:idx val="7"/>
            <c:invertIfNegative val="0"/>
            <c:bubble3D val="0"/>
            <c:spPr>
              <a:gradFill flip="none" rotWithShape="1">
                <a:gsLst>
                  <a:gs pos="50000">
                    <a:srgbClr val="00B0A3"/>
                  </a:gs>
                  <a:gs pos="50000">
                    <a:srgbClr val="FF7722"/>
                  </a:gs>
                </a:gsLst>
                <a:path path="circle">
                  <a:fillToRect l="100000" t="100000"/>
                </a:path>
                <a:tileRect r="-100000" b="-100000"/>
              </a:gradFill>
              <a:ln w="127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3A4-492A-A161-7DB5126D812B}"/>
              </c:ext>
            </c:extLst>
          </c:dPt>
          <c:dLbls>
            <c:dLbl>
              <c:idx val="5"/>
              <c:layout>
                <c:manualLayout>
                  <c:x val="-5.7437991823038688E-17"/>
                  <c:y val="1.233488733488733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42-4544-B8AB-9FC15D35C350}"/>
                </c:ext>
              </c:extLst>
            </c:dLbl>
            <c:dLbl>
              <c:idx val="7"/>
              <c:layout>
                <c:manualLayout>
                  <c:x val="3.1808527690951349E-3"/>
                  <c:y val="-6.429277942631053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3A4-492A-A161-7DB5126D81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solidFill>
                        <a:schemeClr val="tx1"/>
                      </a:solidFill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2225" cap="rnd" cmpd="sng">
                <a:solidFill>
                  <a:schemeClr val="bg1"/>
                </a:solidFill>
                <a:prstDash val="sysDot"/>
                <a:headEnd type="oval"/>
                <a:tailEnd type="oval"/>
              </a:ln>
              <a:effectLst>
                <a:glow>
                  <a:schemeClr val="accent1">
                    <a:alpha val="40000"/>
                  </a:schemeClr>
                </a:glow>
              </a:effectLst>
            </c:spPr>
            <c:trendlineType val="movingAvg"/>
            <c:period val="2"/>
            <c:dispRSqr val="0"/>
            <c:dispEq val="0"/>
          </c:trendline>
          <c:cat>
            <c:strRef>
              <c:f>CAL!$A$3:$A$15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CAL!$B$3:$B$15</c:f>
              <c:numCache>
                <c:formatCode>General</c:formatCode>
                <c:ptCount val="12"/>
                <c:pt idx="0">
                  <c:v>509</c:v>
                </c:pt>
                <c:pt idx="1">
                  <c:v>531</c:v>
                </c:pt>
                <c:pt idx="2">
                  <c:v>639</c:v>
                </c:pt>
                <c:pt idx="3">
                  <c:v>711</c:v>
                </c:pt>
                <c:pt idx="4">
                  <c:v>791</c:v>
                </c:pt>
                <c:pt idx="5">
                  <c:v>827</c:v>
                </c:pt>
                <c:pt idx="6">
                  <c:v>470</c:v>
                </c:pt>
                <c:pt idx="7">
                  <c:v>387</c:v>
                </c:pt>
                <c:pt idx="8">
                  <c:v>381</c:v>
                </c:pt>
                <c:pt idx="9">
                  <c:v>409</c:v>
                </c:pt>
                <c:pt idx="10">
                  <c:v>442</c:v>
                </c:pt>
                <c:pt idx="11">
                  <c:v>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42-4544-B8AB-9FC15D35C3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9"/>
        <c:axId val="1742289647"/>
        <c:axId val="1730102159"/>
      </c:barChart>
      <c:catAx>
        <c:axId val="174228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102159"/>
        <c:crosses val="autoZero"/>
        <c:auto val="1"/>
        <c:lblAlgn val="ctr"/>
        <c:lblOffset val="100"/>
        <c:noMultiLvlLbl val="0"/>
      </c:catAx>
      <c:valAx>
        <c:axId val="173010215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42289647"/>
        <c:crosses val="autoZero"/>
        <c:crossBetween val="between"/>
      </c:valAx>
      <c:spPr>
        <a:gradFill flip="none" rotWithShape="1">
          <a:gsLst>
            <a:gs pos="50000">
              <a:srgbClr val="00B0A3"/>
            </a:gs>
            <a:gs pos="50000">
              <a:srgbClr val="FF7722"/>
            </a:gs>
          </a:gsLst>
          <a:path path="circle">
            <a:fillToRect l="100000" t="100000"/>
          </a:path>
          <a:tileRect r="-100000" b="-10000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86000">
          <a:srgbClr val="C04000"/>
        </a:gs>
        <a:gs pos="19000">
          <a:srgbClr val="FF7722"/>
        </a:gs>
      </a:gsLst>
      <a:lin ang="0" scaled="1"/>
    </a:gradFill>
    <a:ln w="12700" cap="flat" cmpd="sng" algn="ctr">
      <a:solidFill>
        <a:schemeClr val="bg1"/>
      </a:solidFill>
      <a:round/>
    </a:ln>
    <a:effectLst/>
  </c:spPr>
  <c:txPr>
    <a:bodyPr/>
    <a:lstStyle/>
    <a:p>
      <a:pPr>
        <a:defRPr b="0">
          <a:ln>
            <a:solidFill>
              <a:schemeClr val="tx1"/>
            </a:solidFill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[5. TIME TRENDS.xlsx]CAL!PivotTable3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50000">
                <a:srgbClr val="00B0A3"/>
              </a:gs>
              <a:gs pos="50000">
                <a:srgbClr val="FF7722"/>
              </a:gs>
            </a:gsLst>
            <a:path path="circle">
              <a:fillToRect l="100000" t="100000"/>
            </a:path>
            <a:tileRect r="-100000" b="-100000"/>
          </a:gradFill>
          <a:ln w="1270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7722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flip="none" rotWithShape="1">
            <a:gsLst>
              <a:gs pos="50000">
                <a:srgbClr val="00B0A3"/>
              </a:gs>
              <a:gs pos="50000">
                <a:srgbClr val="FF7722"/>
              </a:gs>
            </a:gsLst>
            <a:path path="circle">
              <a:fillToRect l="100000" t="100000"/>
            </a:path>
            <a:tileRect r="-100000" b="-100000"/>
          </a:gradFill>
          <a:ln w="12700">
            <a:solidFill>
              <a:schemeClr val="bg1"/>
            </a:solidFill>
          </a:ln>
          <a:effectLst/>
        </c:spPr>
        <c:dLbl>
          <c:idx val="0"/>
          <c:layout>
            <c:manualLayout>
              <c:x val="0"/>
              <c:y val="1.23348873348873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flip="none" rotWithShape="1">
            <a:gsLst>
              <a:gs pos="50000">
                <a:srgbClr val="00B0A3"/>
              </a:gs>
              <a:gs pos="50000">
                <a:srgbClr val="FF7722"/>
              </a:gs>
            </a:gsLst>
            <a:path path="circle">
              <a:fillToRect l="100000" t="100000"/>
            </a:path>
            <a:tileRect r="-100000" b="-100000"/>
          </a:gradFill>
          <a:ln w="12700">
            <a:solidFill>
              <a:schemeClr val="bg1"/>
            </a:solidFill>
          </a:ln>
          <a:effectLst/>
        </c:spPr>
        <c:dLbl>
          <c:idx val="0"/>
          <c:layout>
            <c:manualLayout>
              <c:x val="9.6899224806201549E-3"/>
              <c:y val="-5.93735390369330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2924372825489837E-2"/>
          <c:y val="0.1255016339869281"/>
          <c:w val="0.94892088343608216"/>
          <c:h val="0.654209967320261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CAL!$E$2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50000">
                  <a:srgbClr val="00B0A3"/>
                </a:gs>
                <a:gs pos="50000">
                  <a:srgbClr val="FF7722"/>
                </a:gs>
              </a:gsLst>
              <a:path path="circle">
                <a:fillToRect l="100000" t="100000"/>
              </a:path>
              <a:tileRect r="-100000" b="-100000"/>
            </a:gradFill>
            <a:ln w="12700">
              <a:solidFill>
                <a:schemeClr val="bg1"/>
              </a:solidFill>
            </a:ln>
            <a:effectLst/>
          </c:spPr>
          <c:invertIfNegative val="0"/>
          <c:dPt>
            <c:idx val="5"/>
            <c:invertIfNegative val="0"/>
            <c:bubble3D val="0"/>
            <c:spPr>
              <a:gradFill flip="none" rotWithShape="1">
                <a:gsLst>
                  <a:gs pos="50000">
                    <a:srgbClr val="00B0A3"/>
                  </a:gs>
                  <a:gs pos="50000">
                    <a:srgbClr val="FF7722"/>
                  </a:gs>
                </a:gsLst>
                <a:path path="circle">
                  <a:fillToRect l="100000" t="100000"/>
                </a:path>
                <a:tileRect r="-100000" b="-100000"/>
              </a:gradFill>
              <a:ln w="127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DF-4CFA-B6AB-51854DD9E2D3}"/>
              </c:ext>
            </c:extLst>
          </c:dPt>
          <c:dPt>
            <c:idx val="7"/>
            <c:invertIfNegative val="0"/>
            <c:bubble3D val="0"/>
            <c:spPr>
              <a:gradFill flip="none" rotWithShape="1">
                <a:gsLst>
                  <a:gs pos="50000">
                    <a:srgbClr val="00B0A3"/>
                  </a:gs>
                  <a:gs pos="50000">
                    <a:srgbClr val="FF7722"/>
                  </a:gs>
                </a:gsLst>
                <a:path path="circle">
                  <a:fillToRect l="100000" t="100000"/>
                </a:path>
                <a:tileRect r="-100000" b="-100000"/>
              </a:gradFill>
              <a:ln w="127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1D-47F6-B82A-B51C1547C31D}"/>
              </c:ext>
            </c:extLst>
          </c:dPt>
          <c:dLbls>
            <c:dLbl>
              <c:idx val="5"/>
              <c:layout>
                <c:manualLayout>
                  <c:x val="0"/>
                  <c:y val="1.233488733488733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DF-4CFA-B6AB-51854DD9E2D3}"/>
                </c:ext>
              </c:extLst>
            </c:dLbl>
            <c:dLbl>
              <c:idx val="7"/>
              <c:layout>
                <c:manualLayout>
                  <c:x val="9.6899224806201549E-3"/>
                  <c:y val="-5.937353903693309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1D-47F6-B82A-B51C1547C3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ln>
                      <a:solidFill>
                        <a:schemeClr val="tx1"/>
                      </a:solidFill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 cmpd="sng">
                <a:solidFill>
                  <a:schemeClr val="bg1"/>
                </a:solidFill>
                <a:prstDash val="sysDot"/>
                <a:headEnd type="oval"/>
                <a:tailEnd type="oval" w="sm" len="med"/>
              </a:ln>
              <a:effectLst>
                <a:softEdge rad="0"/>
              </a:effectLst>
            </c:spPr>
            <c:trendlineType val="movingAvg"/>
            <c:period val="2"/>
            <c:dispRSqr val="0"/>
            <c:dispEq val="0"/>
          </c:trendline>
          <c:cat>
            <c:strRef>
              <c:f>CAL!$D$3:$D$15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CAL!$E$3:$E$15</c:f>
              <c:numCache>
                <c:formatCode>General</c:formatCode>
                <c:ptCount val="12"/>
                <c:pt idx="0">
                  <c:v>558</c:v>
                </c:pt>
                <c:pt idx="1">
                  <c:v>581</c:v>
                </c:pt>
                <c:pt idx="2">
                  <c:v>710</c:v>
                </c:pt>
                <c:pt idx="3">
                  <c:v>812</c:v>
                </c:pt>
                <c:pt idx="4">
                  <c:v>906</c:v>
                </c:pt>
                <c:pt idx="5">
                  <c:v>1090</c:v>
                </c:pt>
                <c:pt idx="6">
                  <c:v>536</c:v>
                </c:pt>
                <c:pt idx="7">
                  <c:v>417</c:v>
                </c:pt>
                <c:pt idx="8">
                  <c:v>408</c:v>
                </c:pt>
                <c:pt idx="9">
                  <c:v>437</c:v>
                </c:pt>
                <c:pt idx="10">
                  <c:v>486</c:v>
                </c:pt>
                <c:pt idx="11">
                  <c:v>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DF-4CFA-B6AB-51854DD9E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1129521055"/>
        <c:axId val="1968363663"/>
      </c:barChart>
      <c:catAx>
        <c:axId val="112952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363663"/>
        <c:crosses val="autoZero"/>
        <c:auto val="1"/>
        <c:lblAlgn val="ctr"/>
        <c:lblOffset val="100"/>
        <c:noMultiLvlLbl val="0"/>
      </c:catAx>
      <c:valAx>
        <c:axId val="19683636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29521055"/>
        <c:crosses val="autoZero"/>
        <c:crossBetween val="between"/>
      </c:valAx>
      <c:spPr>
        <a:gradFill flip="none" rotWithShape="1">
          <a:gsLst>
            <a:gs pos="50000">
              <a:srgbClr val="00B0A3"/>
            </a:gs>
            <a:gs pos="50000">
              <a:srgbClr val="FF7722"/>
            </a:gs>
          </a:gsLst>
          <a:path path="circle">
            <a:fillToRect l="100000" t="100000"/>
          </a:path>
          <a:tileRect r="-100000" b="-10000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86000">
          <a:srgbClr val="C04000"/>
        </a:gs>
        <a:gs pos="16000">
          <a:srgbClr val="FF7722"/>
        </a:gs>
      </a:gsLst>
      <a:lin ang="0" scaled="0"/>
      <a:tileRect/>
    </a:gradFill>
    <a:ln w="12700" cap="flat" cmpd="sng" algn="ctr">
      <a:solidFill>
        <a:schemeClr val="bg1"/>
      </a:solidFill>
      <a:round/>
    </a:ln>
    <a:effectLst/>
  </c:spPr>
  <c:txPr>
    <a:bodyPr/>
    <a:lstStyle/>
    <a:p>
      <a:pPr>
        <a:defRPr lang="en-US" sz="1000" b="0" i="0" u="none" strike="noStrike" kern="1200" baseline="0">
          <a:ln>
            <a:solidFill>
              <a:schemeClr val="tx1"/>
            </a:solidFill>
          </a:ln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[5. TIME TRENDS.xlsx]CAL!PivotTable4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50000">
                <a:srgbClr val="00B0A3"/>
              </a:gs>
              <a:gs pos="50000">
                <a:srgbClr val="FF7722"/>
              </a:gs>
            </a:gsLst>
            <a:path path="circle">
              <a:fillToRect l="100000" t="100000"/>
            </a:path>
            <a:tileRect r="-100000" b="-100000"/>
          </a:gradFill>
          <a:ln w="1270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5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50000">
                <a:srgbClr val="00B0A3"/>
              </a:gs>
              <a:gs pos="50000">
                <a:srgbClr val="FF7722"/>
              </a:gs>
            </a:gsLst>
            <a:path path="circle">
              <a:fillToRect l="100000" t="100000"/>
            </a:path>
            <a:tileRect r="-100000" b="-100000"/>
          </a:gradFill>
          <a:ln w="12700">
            <a:solidFill>
              <a:schemeClr val="bg1"/>
            </a:solidFill>
          </a:ln>
          <a:effectLst/>
        </c:spPr>
        <c:dLbl>
          <c:idx val="0"/>
          <c:layout>
            <c:manualLayout>
              <c:x val="9.1743119266055051E-3"/>
              <c:y val="-8.90603085553996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5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4463193210972964E-2"/>
          <c:y val="0.11686670234181892"/>
          <c:w val="0.94955778402006574"/>
          <c:h val="0.670438039905206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CAL!$I$2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50000">
                  <a:srgbClr val="00B0A3"/>
                </a:gs>
                <a:gs pos="50000">
                  <a:srgbClr val="FF7722"/>
                </a:gs>
              </a:gsLst>
              <a:path path="circle">
                <a:fillToRect l="100000" t="100000"/>
              </a:path>
              <a:tileRect r="-100000" b="-100000"/>
            </a:gradFill>
            <a:ln w="12700">
              <a:solidFill>
                <a:schemeClr val="bg1"/>
              </a:solidFill>
            </a:ln>
            <a:effectLst/>
          </c:spPr>
          <c:invertIfNegative val="0"/>
          <c:dPt>
            <c:idx val="7"/>
            <c:invertIfNegative val="0"/>
            <c:bubble3D val="0"/>
            <c:spPr>
              <a:gradFill flip="none" rotWithShape="1">
                <a:gsLst>
                  <a:gs pos="50000">
                    <a:srgbClr val="00B0A3"/>
                  </a:gs>
                  <a:gs pos="50000">
                    <a:srgbClr val="FF7722"/>
                  </a:gs>
                </a:gsLst>
                <a:path path="circle">
                  <a:fillToRect l="100000" t="100000"/>
                </a:path>
                <a:tileRect r="-100000" b="-100000"/>
              </a:gradFill>
              <a:ln w="127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4DD-44A1-B62F-67F05F8BFD83}"/>
              </c:ext>
            </c:extLst>
          </c:dPt>
          <c:dLbls>
            <c:dLbl>
              <c:idx val="7"/>
              <c:layout>
                <c:manualLayout>
                  <c:x val="9.1743119266055051E-3"/>
                  <c:y val="-8.906030855539967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4DD-44A1-B62F-67F05F8BFD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50" b="0" i="0" u="none" strike="noStrike" kern="1200" baseline="0">
                    <a:ln>
                      <a:solidFill>
                        <a:schemeClr val="tx1"/>
                      </a:solidFill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28575" cap="rnd" cmpd="sng">
                <a:solidFill>
                  <a:schemeClr val="bg1"/>
                </a:solidFill>
                <a:prstDash val="sysDot"/>
                <a:headEnd type="oval"/>
                <a:tailEnd type="oval"/>
              </a:ln>
              <a:effectLst>
                <a:softEdge rad="0"/>
              </a:effectLst>
            </c:spPr>
            <c:trendlineType val="movingAvg"/>
            <c:period val="2"/>
            <c:dispRSqr val="0"/>
            <c:dispEq val="0"/>
          </c:trendline>
          <c:cat>
            <c:strRef>
              <c:f>CAL!$H$3:$H$15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CAL!$I$3:$I$15</c:f>
              <c:numCache>
                <c:formatCode>0\.00,"L"</c:formatCode>
                <c:ptCount val="12"/>
                <c:pt idx="0">
                  <c:v>411307</c:v>
                </c:pt>
                <c:pt idx="1">
                  <c:v>419004</c:v>
                </c:pt>
                <c:pt idx="2">
                  <c:v>525211</c:v>
                </c:pt>
                <c:pt idx="3">
                  <c:v>600488</c:v>
                </c:pt>
                <c:pt idx="4">
                  <c:v>648720</c:v>
                </c:pt>
                <c:pt idx="5">
                  <c:v>767590</c:v>
                </c:pt>
                <c:pt idx="6">
                  <c:v>373079</c:v>
                </c:pt>
                <c:pt idx="7">
                  <c:v>284596</c:v>
                </c:pt>
                <c:pt idx="8">
                  <c:v>302326</c:v>
                </c:pt>
                <c:pt idx="9">
                  <c:v>324720</c:v>
                </c:pt>
                <c:pt idx="10">
                  <c:v>340008</c:v>
                </c:pt>
                <c:pt idx="11">
                  <c:v>401199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D-4166-9911-85E9220B59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9"/>
        <c:axId val="2117019887"/>
        <c:axId val="1968311823"/>
      </c:barChart>
      <c:catAx>
        <c:axId val="211701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311823"/>
        <c:crosses val="autoZero"/>
        <c:auto val="1"/>
        <c:lblAlgn val="ctr"/>
        <c:lblOffset val="100"/>
        <c:noMultiLvlLbl val="0"/>
      </c:catAx>
      <c:valAx>
        <c:axId val="196831182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.00,&quot;L&quot;" sourceLinked="1"/>
        <c:majorTickMark val="none"/>
        <c:minorTickMark val="none"/>
        <c:tickLblPos val="nextTo"/>
        <c:crossAx val="2117019887"/>
        <c:crosses val="autoZero"/>
        <c:crossBetween val="between"/>
      </c:valAx>
      <c:spPr>
        <a:gradFill flip="none" rotWithShape="1">
          <a:gsLst>
            <a:gs pos="50000">
              <a:srgbClr val="00B0A3"/>
            </a:gs>
            <a:gs pos="50000">
              <a:srgbClr val="FF7722"/>
            </a:gs>
          </a:gsLst>
          <a:path path="circle">
            <a:fillToRect l="100000" t="100000"/>
          </a:path>
          <a:tileRect r="-100000" b="-10000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86000">
          <a:srgbClr val="C04000"/>
        </a:gs>
        <a:gs pos="16000">
          <a:srgbClr val="FF7722"/>
        </a:gs>
      </a:gsLst>
      <a:lin ang="0" scaled="0"/>
    </a:gradFill>
    <a:ln w="12700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[5. TIME TRENDS.xlsx]CAL!PivotTable5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h]&quot;hour&quot;\ mm&quot;min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h]&quot;hour&quot;\ mm&quot;min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50000">
                <a:srgbClr val="00B0A3"/>
              </a:gs>
              <a:gs pos="50000">
                <a:srgbClr val="FF7722"/>
              </a:gs>
            </a:gsLst>
            <a:path path="circle">
              <a:fillToRect l="100000" t="100000"/>
            </a:path>
            <a:tileRect r="-100000" b="-100000"/>
          </a:gradFill>
          <a:ln w="1270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numFmt formatCode="[h]&quot;h&quot;\ 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</c:pivotFmts>
    <c:plotArea>
      <c:layout>
        <c:manualLayout>
          <c:layoutTarget val="inner"/>
          <c:xMode val="edge"/>
          <c:yMode val="edge"/>
          <c:x val="6.1453916818090025E-3"/>
          <c:y val="0.16129032258064516"/>
          <c:w val="0.99385460831819095"/>
          <c:h val="0.598761985335589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CAL!$B$20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50000">
                  <a:srgbClr val="00B0A3"/>
                </a:gs>
                <a:gs pos="50000">
                  <a:srgbClr val="FF7722"/>
                </a:gs>
              </a:gsLst>
              <a:path path="circle">
                <a:fillToRect l="100000" t="100000"/>
              </a:path>
              <a:tileRect r="-100000" b="-100000"/>
            </a:gradFill>
            <a:ln w="12700">
              <a:solidFill>
                <a:schemeClr val="bg1"/>
              </a:solidFill>
            </a:ln>
            <a:effectLst/>
          </c:spPr>
          <c:invertIfNegative val="0"/>
          <c:dLbls>
            <c:numFmt formatCode="[h]&quot;h&quot;\ 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ln>
                      <a:solidFill>
                        <a:schemeClr val="tx1"/>
                      </a:solidFill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2225" cap="rnd" cmpd="sng">
                <a:solidFill>
                  <a:schemeClr val="bg1"/>
                </a:solidFill>
                <a:prstDash val="sysDot"/>
                <a:headEnd type="diamond"/>
                <a:tailEnd type="diamond"/>
              </a:ln>
              <a:effectLst/>
            </c:spPr>
            <c:trendlineType val="log"/>
            <c:dispRSqr val="0"/>
            <c:dispEq val="0"/>
          </c:trendline>
          <c:cat>
            <c:strRef>
              <c:f>CAL!$A$21:$A$33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CAL!$B$21:$B$33</c:f>
              <c:numCache>
                <c:formatCode>[$-14009]hh:mm:ss;@</c:formatCode>
                <c:ptCount val="12"/>
                <c:pt idx="0">
                  <c:v>2.1881944444444423</c:v>
                </c:pt>
                <c:pt idx="1">
                  <c:v>2.7097222222222221</c:v>
                </c:pt>
                <c:pt idx="2">
                  <c:v>2.5805555555555562</c:v>
                </c:pt>
                <c:pt idx="3">
                  <c:v>3.0243055555555554</c:v>
                </c:pt>
                <c:pt idx="4">
                  <c:v>1.8895833333333301</c:v>
                </c:pt>
                <c:pt idx="5">
                  <c:v>2.9055555555555559</c:v>
                </c:pt>
                <c:pt idx="6">
                  <c:v>2.4833333333333329</c:v>
                </c:pt>
                <c:pt idx="7">
                  <c:v>2.025694444444444</c:v>
                </c:pt>
                <c:pt idx="8">
                  <c:v>1.2222222222222219</c:v>
                </c:pt>
                <c:pt idx="9">
                  <c:v>1.3819444444444429</c:v>
                </c:pt>
                <c:pt idx="10">
                  <c:v>1.0972222222222237</c:v>
                </c:pt>
                <c:pt idx="11">
                  <c:v>0.71666666666666634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80-4518-A63D-9F3CDE27AB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85159487"/>
        <c:axId val="1933446863"/>
      </c:barChart>
      <c:catAx>
        <c:axId val="208515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446863"/>
        <c:crosses val="autoZero"/>
        <c:auto val="1"/>
        <c:lblAlgn val="ctr"/>
        <c:lblOffset val="100"/>
        <c:noMultiLvlLbl val="0"/>
      </c:catAx>
      <c:valAx>
        <c:axId val="19334468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14009]hh:mm:ss;@" sourceLinked="1"/>
        <c:majorTickMark val="none"/>
        <c:minorTickMark val="none"/>
        <c:tickLblPos val="nextTo"/>
        <c:crossAx val="2085159487"/>
        <c:crosses val="autoZero"/>
        <c:crossBetween val="between"/>
      </c:valAx>
      <c:spPr>
        <a:gradFill flip="none" rotWithShape="1">
          <a:gsLst>
            <a:gs pos="50000">
              <a:srgbClr val="00B0A3"/>
            </a:gs>
            <a:gs pos="50000">
              <a:srgbClr val="FF7722"/>
            </a:gs>
          </a:gsLst>
          <a:path path="circle">
            <a:fillToRect l="100000" t="100000"/>
          </a:path>
          <a:tileRect r="-100000" b="-10000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86000">
          <a:srgbClr val="C04000"/>
        </a:gs>
        <a:gs pos="19000">
          <a:srgbClr val="FF7722"/>
        </a:gs>
      </a:gsLst>
      <a:lin ang="0" scaled="1"/>
    </a:gradFill>
    <a:ln w="12700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468053</xdr:colOff>
      <xdr:row>13</xdr:row>
      <xdr:rowOff>15394</xdr:rowOff>
    </xdr:from>
    <xdr:to>
      <xdr:col>22</xdr:col>
      <xdr:colOff>514441</xdr:colOff>
      <xdr:row>46</xdr:row>
      <xdr:rowOff>96994</xdr:rowOff>
    </xdr:to>
    <xdr:grpSp>
      <xdr:nvGrpSpPr>
        <xdr:cNvPr id="96" name="Group 95">
          <a:extLst>
            <a:ext uri="{FF2B5EF4-FFF2-40B4-BE49-F238E27FC236}">
              <a16:creationId xmlns:a16="http://schemas.microsoft.com/office/drawing/2014/main" id="{545C31E9-A9B4-4C03-3B5B-B442A263C128}"/>
            </a:ext>
          </a:extLst>
        </xdr:cNvPr>
        <xdr:cNvGrpSpPr/>
      </xdr:nvGrpSpPr>
      <xdr:grpSpPr>
        <a:xfrm>
          <a:off x="1684174" y="2416849"/>
          <a:ext cx="12207600" cy="6177600"/>
          <a:chOff x="1051560" y="0"/>
          <a:chExt cx="12200820" cy="6177600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1C7880DB-006C-3A0A-C4D4-F0B8B1892E53}"/>
              </a:ext>
            </a:extLst>
          </xdr:cNvPr>
          <xdr:cNvSpPr/>
        </xdr:nvSpPr>
        <xdr:spPr>
          <a:xfrm>
            <a:off x="1059180" y="0"/>
            <a:ext cx="12193200" cy="6177600"/>
          </a:xfrm>
          <a:prstGeom prst="rect">
            <a:avLst/>
          </a:prstGeom>
          <a:solidFill>
            <a:schemeClr val="tx1"/>
          </a:solidFill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IN" sz="1100" b="1">
              <a:ln>
                <a:solidFill>
                  <a:schemeClr val="accent3">
                    <a:lumMod val="50000"/>
                  </a:schemeClr>
                </a:solidFill>
              </a:ln>
              <a:solidFill>
                <a:srgbClr val="00BB8B"/>
              </a:solidFill>
            </a:endParaRPr>
          </a:p>
        </xdr:txBody>
      </xdr:sp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67DA1F69-217E-65CF-A1A1-FD3142AE9415}"/>
              </a:ext>
            </a:extLst>
          </xdr:cNvPr>
          <xdr:cNvSpPr/>
        </xdr:nvSpPr>
        <xdr:spPr>
          <a:xfrm>
            <a:off x="1051560" y="22860"/>
            <a:ext cx="12193200" cy="678180"/>
          </a:xfrm>
          <a:prstGeom prst="rect">
            <a:avLst/>
          </a:prstGeom>
          <a:gradFill flip="none" rotWithShape="1">
            <a:gsLst>
              <a:gs pos="91000">
                <a:srgbClr val="C04000"/>
              </a:gs>
              <a:gs pos="19000">
                <a:srgbClr val="FF7722"/>
              </a:gs>
            </a:gsLst>
            <a:lin ang="0" scaled="1"/>
            <a:tileRect/>
          </a:gra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600" b="1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TIME TREND</a:t>
            </a:r>
            <a:r>
              <a:rPr lang="en-IN" sz="1600" b="1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 ANALYSIS</a:t>
            </a:r>
            <a:endParaRPr lang="en-IN" sz="1600" b="1">
              <a:ln>
                <a:solidFill>
                  <a:schemeClr val="tx1"/>
                </a:solidFill>
              </a:ln>
              <a:solidFill>
                <a:schemeClr val="tx1"/>
              </a:solidFill>
            </a:endParaRP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94AFA664-F0D1-94C0-E72F-DAA2D7109432}"/>
              </a:ext>
            </a:extLst>
          </xdr:cNvPr>
          <xdr:cNvSpPr txBox="1"/>
        </xdr:nvSpPr>
        <xdr:spPr>
          <a:xfrm>
            <a:off x="1135380" y="247650"/>
            <a:ext cx="967740" cy="228600"/>
          </a:xfrm>
          <a:prstGeom prst="roundRect">
            <a:avLst/>
          </a:prstGeom>
          <a:noFill/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100" b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PRIORITY</a:t>
            </a:r>
            <a:r>
              <a:rPr lang="en-IN" sz="1100" b="0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 - 5</a:t>
            </a:r>
            <a:endParaRPr lang="en-IN" sz="1100" b="0">
              <a:ln>
                <a:solidFill>
                  <a:schemeClr val="tx1"/>
                </a:solidFill>
              </a:ln>
              <a:solidFill>
                <a:schemeClr val="tx1"/>
              </a:solidFill>
            </a:endParaRPr>
          </a:p>
        </xdr:txBody>
      </xdr: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A6673B11-3FFF-CF6C-0B15-7DB322D00763}"/>
              </a:ext>
            </a:extLst>
          </xdr:cNvPr>
          <xdr:cNvGrpSpPr/>
        </xdr:nvGrpSpPr>
        <xdr:grpSpPr>
          <a:xfrm>
            <a:off x="1081920" y="1653540"/>
            <a:ext cx="3992640" cy="2354400"/>
            <a:chOff x="1074300" y="1440180"/>
            <a:chExt cx="3992640" cy="2354400"/>
          </a:xfrm>
        </xdr:grpSpPr>
        <xdr:graphicFrame macro="">
          <xdr:nvGraphicFramePr>
            <xdr:cNvPr id="5" name="Chart 2">
              <a:extLst>
                <a:ext uri="{FF2B5EF4-FFF2-40B4-BE49-F238E27FC236}">
                  <a16:creationId xmlns:a16="http://schemas.microsoft.com/office/drawing/2014/main" id="{10BCD22F-CDEE-4B6A-BECA-1DBAFE3347B8}"/>
                </a:ext>
              </a:extLst>
            </xdr:cNvPr>
            <xdr:cNvGraphicFramePr>
              <a:graphicFrameLocks/>
            </xdr:cNvGraphicFramePr>
          </xdr:nvGraphicFramePr>
          <xdr:xfrm>
            <a:off x="1074300" y="1440180"/>
            <a:ext cx="3992640" cy="23544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4793A42-45D3-4F6C-9660-BC26E9092B45}"/>
                </a:ext>
              </a:extLst>
            </xdr:cNvPr>
            <xdr:cNvSpPr txBox="1"/>
          </xdr:nvSpPr>
          <xdr:spPr>
            <a:xfrm>
              <a:off x="2510670" y="1465633"/>
              <a:ext cx="1089660" cy="195527"/>
            </a:xfrm>
            <a:prstGeom prst="roundRect">
              <a:avLst/>
            </a:prstGeom>
            <a:solidFill>
              <a:srgbClr val="FF7722"/>
            </a:solidFill>
            <a:ln w="12700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100" b="0">
                  <a:ln>
                    <a:solidFill>
                      <a:schemeClr val="tx1"/>
                    </a:solidFill>
                  </a:ln>
                  <a:solidFill>
                    <a:schemeClr val="tx1"/>
                  </a:solidFill>
                </a:rPr>
                <a:t>USER</a:t>
              </a:r>
              <a:r>
                <a:rPr lang="en-IN" sz="1100" b="0" baseline="0">
                  <a:ln>
                    <a:solidFill>
                      <a:schemeClr val="tx1"/>
                    </a:solidFill>
                  </a:ln>
                  <a:solidFill>
                    <a:schemeClr val="tx1"/>
                  </a:solidFill>
                </a:rPr>
                <a:t> SIGNUPS</a:t>
              </a:r>
              <a:endParaRPr lang="en-IN" sz="1100" b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endParaRPr>
            </a:p>
          </xdr:txBody>
        </xdr:sp>
      </xdr:grp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4481887A-1661-0358-3C30-F8223C51AAD0}"/>
              </a:ext>
            </a:extLst>
          </xdr:cNvPr>
          <xdr:cNvGrpSpPr/>
        </xdr:nvGrpSpPr>
        <xdr:grpSpPr>
          <a:xfrm>
            <a:off x="5113020" y="1653540"/>
            <a:ext cx="3950790" cy="2354400"/>
            <a:chOff x="5094150" y="708660"/>
            <a:chExt cx="3950790" cy="2245431"/>
          </a:xfrm>
        </xdr:grpSpPr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705200CB-F330-4675-B04E-206DA87C95B0}"/>
                </a:ext>
              </a:extLst>
            </xdr:cNvPr>
            <xdr:cNvGraphicFramePr>
              <a:graphicFrameLocks/>
            </xdr:cNvGraphicFramePr>
          </xdr:nvGraphicFramePr>
          <xdr:xfrm>
            <a:off x="5094150" y="708660"/>
            <a:ext cx="3950790" cy="224543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7B57FDB-DD16-45BF-9E2E-FE5400AD440D}"/>
                </a:ext>
              </a:extLst>
            </xdr:cNvPr>
            <xdr:cNvSpPr txBox="1"/>
          </xdr:nvSpPr>
          <xdr:spPr>
            <a:xfrm>
              <a:off x="6280759" y="739140"/>
              <a:ext cx="1499261" cy="213360"/>
            </a:xfrm>
            <a:prstGeom prst="roundRect">
              <a:avLst/>
            </a:prstGeom>
            <a:solidFill>
              <a:srgbClr val="FF7722"/>
            </a:solidFill>
            <a:ln w="12700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100" b="0">
                  <a:ln>
                    <a:solidFill>
                      <a:schemeClr val="tx1"/>
                    </a:solidFill>
                  </a:ln>
                  <a:solidFill>
                    <a:schemeClr val="tx1"/>
                  </a:solidFill>
                </a:rPr>
                <a:t>MONTHLY</a:t>
              </a:r>
              <a:r>
                <a:rPr lang="en-IN" sz="1100" b="0" baseline="0">
                  <a:ln>
                    <a:solidFill>
                      <a:schemeClr val="tx1"/>
                    </a:solidFill>
                  </a:ln>
                  <a:solidFill>
                    <a:schemeClr val="tx1"/>
                  </a:solidFill>
                </a:rPr>
                <a:t> SESSIONS</a:t>
              </a:r>
              <a:endParaRPr lang="en-IN" sz="1100" b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endParaRPr>
            </a:p>
          </xdr:txBody>
        </xdr:sp>
      </xdr:grpSp>
      <xdr:graphicFrame macro="">
        <xdr:nvGraphicFramePr>
          <xdr:cNvPr id="14" name="Chart 13">
            <a:extLst>
              <a:ext uri="{FF2B5EF4-FFF2-40B4-BE49-F238E27FC236}">
                <a16:creationId xmlns:a16="http://schemas.microsoft.com/office/drawing/2014/main" id="{F587B550-1032-4EA6-814F-422A9434DC46}"/>
              </a:ext>
            </a:extLst>
          </xdr:cNvPr>
          <xdr:cNvGraphicFramePr>
            <a:graphicFrameLocks/>
          </xdr:cNvGraphicFramePr>
        </xdr:nvGraphicFramePr>
        <xdr:xfrm>
          <a:off x="9090660" y="1653540"/>
          <a:ext cx="4137660" cy="23545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6F985792-A89B-7E93-7772-A1A6F71E6694}"/>
              </a:ext>
            </a:extLst>
          </xdr:cNvPr>
          <xdr:cNvSpPr txBox="1"/>
        </xdr:nvSpPr>
        <xdr:spPr>
          <a:xfrm>
            <a:off x="10492628" y="1691640"/>
            <a:ext cx="1303132" cy="213360"/>
          </a:xfrm>
          <a:prstGeom prst="roundRect">
            <a:avLst/>
          </a:prstGeom>
          <a:solidFill>
            <a:srgbClr val="FF7722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MONTHLY TOKENS</a:t>
            </a:r>
          </a:p>
        </xdr:txBody>
      </xdr:sp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A8A04649-3104-5D34-0AC0-C6AC35288365}"/>
              </a:ext>
            </a:extLst>
          </xdr:cNvPr>
          <xdr:cNvGrpSpPr/>
        </xdr:nvGrpSpPr>
        <xdr:grpSpPr>
          <a:xfrm>
            <a:off x="1082044" y="4038600"/>
            <a:ext cx="6416039" cy="2127600"/>
            <a:chOff x="1074422" y="3977640"/>
            <a:chExt cx="3587331" cy="2173320"/>
          </a:xfrm>
        </xdr:grpSpPr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6D9B0751-7D4B-47A0-921D-CA47EBC9C8F3}"/>
                </a:ext>
              </a:extLst>
            </xdr:cNvPr>
            <xdr:cNvGraphicFramePr>
              <a:graphicFrameLocks/>
            </xdr:cNvGraphicFramePr>
          </xdr:nvGraphicFramePr>
          <xdr:xfrm>
            <a:off x="1074422" y="3977640"/>
            <a:ext cx="3587331" cy="217332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633425C-A7DC-4436-A392-7B0D2961F37E}"/>
                </a:ext>
              </a:extLst>
            </xdr:cNvPr>
            <xdr:cNvSpPr txBox="1"/>
          </xdr:nvSpPr>
          <xdr:spPr>
            <a:xfrm>
              <a:off x="2454687" y="4028488"/>
              <a:ext cx="826801" cy="244935"/>
            </a:xfrm>
            <a:prstGeom prst="roundRect">
              <a:avLst/>
            </a:prstGeom>
            <a:solidFill>
              <a:srgbClr val="FF7722"/>
            </a:solidFill>
            <a:ln w="12700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100">
                  <a:ln>
                    <a:solidFill>
                      <a:schemeClr val="tx1"/>
                    </a:solidFill>
                  </a:ln>
                  <a:solidFill>
                    <a:schemeClr val="tx1"/>
                  </a:solidFill>
                </a:rPr>
                <a:t>SESSION</a:t>
              </a:r>
              <a:r>
                <a:rPr lang="en-IN" sz="1100" baseline="0">
                  <a:ln>
                    <a:solidFill>
                      <a:schemeClr val="tx1"/>
                    </a:solidFill>
                  </a:ln>
                  <a:solidFill>
                    <a:schemeClr val="tx1"/>
                  </a:solidFill>
                </a:rPr>
                <a:t> DURATION</a:t>
              </a:r>
              <a:endParaRPr lang="en-IN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endParaRPr>
            </a:p>
          </xdr:txBody>
        </xdr:sp>
      </xdr:grp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5D0A867A-E64B-9E0E-4DE3-F98F924AD396}"/>
              </a:ext>
            </a:extLst>
          </xdr:cNvPr>
          <xdr:cNvSpPr/>
        </xdr:nvSpPr>
        <xdr:spPr>
          <a:xfrm>
            <a:off x="7543800" y="4038600"/>
            <a:ext cx="5683260" cy="2127300"/>
          </a:xfrm>
          <a:prstGeom prst="rect">
            <a:avLst/>
          </a:prstGeom>
          <a:gradFill flip="none" rotWithShape="1">
            <a:gsLst>
              <a:gs pos="50000">
                <a:srgbClr val="00B0A3"/>
              </a:gs>
              <a:gs pos="50000">
                <a:srgbClr val="FF7722"/>
              </a:gs>
            </a:gsLst>
            <a:path path="circle">
              <a:fillToRect l="100000" t="100000"/>
            </a:path>
            <a:tileRect r="-100000" b="-100000"/>
          </a:gradFill>
          <a:ln w="12700"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97A3874-BB3E-4872-84D3-59A99D6A5844}"/>
              </a:ext>
            </a:extLst>
          </xdr:cNvPr>
          <xdr:cNvSpPr txBox="1"/>
        </xdr:nvSpPr>
        <xdr:spPr>
          <a:xfrm>
            <a:off x="9426900" y="4091940"/>
            <a:ext cx="1917060" cy="236220"/>
          </a:xfrm>
          <a:prstGeom prst="roundRect">
            <a:avLst/>
          </a:prstGeom>
          <a:solidFill>
            <a:srgbClr val="FF7722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TOP 3 PEAK USAGE MONTHS</a:t>
            </a:r>
          </a:p>
        </xdr:txBody>
      </xdr:sp>
      <xdr:grpSp>
        <xdr:nvGrpSpPr>
          <xdr:cNvPr id="47" name="Group 46">
            <a:extLst>
              <a:ext uri="{FF2B5EF4-FFF2-40B4-BE49-F238E27FC236}">
                <a16:creationId xmlns:a16="http://schemas.microsoft.com/office/drawing/2014/main" id="{FC9741D3-1971-6BCF-D849-19B33334B4E4}"/>
              </a:ext>
            </a:extLst>
          </xdr:cNvPr>
          <xdr:cNvGrpSpPr/>
        </xdr:nvGrpSpPr>
        <xdr:grpSpPr>
          <a:xfrm>
            <a:off x="1066800" y="723900"/>
            <a:ext cx="2023200" cy="891540"/>
            <a:chOff x="1066800" y="723900"/>
            <a:chExt cx="2023200" cy="891540"/>
          </a:xfrm>
        </xdr:grpSpPr>
        <xdr:sp macro="" textlink="">
          <xdr:nvSpPr>
            <xdr:cNvPr id="21" name="Rectangle: Rounded Corners 20">
              <a:extLst>
                <a:ext uri="{FF2B5EF4-FFF2-40B4-BE49-F238E27FC236}">
                  <a16:creationId xmlns:a16="http://schemas.microsoft.com/office/drawing/2014/main" id="{1E03B153-3005-C38D-F6C5-9E0146B06271}"/>
                </a:ext>
              </a:extLst>
            </xdr:cNvPr>
            <xdr:cNvSpPr/>
          </xdr:nvSpPr>
          <xdr:spPr>
            <a:xfrm>
              <a:off x="1066800" y="723900"/>
              <a:ext cx="2023200" cy="891540"/>
            </a:xfrm>
            <a:prstGeom prst="roundRect">
              <a:avLst/>
            </a:prstGeom>
            <a:gradFill flip="none" rotWithShape="1">
              <a:gsLst>
                <a:gs pos="50000">
                  <a:srgbClr val="00B0A3"/>
                </a:gs>
                <a:gs pos="50000">
                  <a:srgbClr val="FF7722"/>
                </a:gs>
              </a:gsLst>
              <a:path path="circle">
                <a:fillToRect l="100000" t="100000"/>
              </a:path>
              <a:tileRect r="-100000" b="-100000"/>
            </a:gra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28EA0CEC-31AB-4D0E-8ACD-1C27F237BC9A}"/>
                </a:ext>
              </a:extLst>
            </xdr:cNvPr>
            <xdr:cNvSpPr txBox="1"/>
          </xdr:nvSpPr>
          <xdr:spPr>
            <a:xfrm>
              <a:off x="1354500" y="746760"/>
              <a:ext cx="1518240" cy="281940"/>
            </a:xfrm>
            <a:prstGeom prst="roundRect">
              <a:avLst/>
            </a:prstGeom>
            <a:noFill/>
            <a:ln w="1270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600" b="0">
                  <a:ln>
                    <a:solidFill>
                      <a:schemeClr val="tx1"/>
                    </a:solidFill>
                  </a:ln>
                  <a:solidFill>
                    <a:schemeClr val="tx1"/>
                  </a:solidFill>
                </a:rPr>
                <a:t>Daily Avg</a:t>
              </a:r>
              <a:r>
                <a:rPr lang="en-IN" sz="1600" b="0" baseline="0">
                  <a:ln>
                    <a:solidFill>
                      <a:schemeClr val="tx1"/>
                    </a:solidFill>
                  </a:ln>
                  <a:solidFill>
                    <a:schemeClr val="tx1"/>
                  </a:solidFill>
                </a:rPr>
                <a:t> Users</a:t>
              </a:r>
              <a:endParaRPr lang="en-IN" sz="1600" b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endParaRPr>
            </a:p>
          </xdr:txBody>
        </xdr:sp>
        <xdr:cxnSp macro="">
          <xdr:nvCxnSpPr>
            <xdr:cNvPr id="34" name="Connector: Elbow 33">
              <a:extLst>
                <a:ext uri="{FF2B5EF4-FFF2-40B4-BE49-F238E27FC236}">
                  <a16:creationId xmlns:a16="http://schemas.microsoft.com/office/drawing/2014/main" id="{2ACF9B75-5D29-3BAA-6B5B-3E8E0C0F6692}"/>
                </a:ext>
              </a:extLst>
            </xdr:cNvPr>
            <xdr:cNvCxnSpPr/>
          </xdr:nvCxnSpPr>
          <xdr:spPr>
            <a:xfrm rot="16200000" flipH="1">
              <a:off x="1918380" y="1134724"/>
              <a:ext cx="320040" cy="47031"/>
            </a:xfrm>
            <a:prstGeom prst="bentConnector3">
              <a:avLst/>
            </a:prstGeom>
            <a:ln>
              <a:solidFill>
                <a:schemeClr val="tx1"/>
              </a:solidFill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CAL!D23">
          <xdr:nvSpPr>
            <xdr:cNvPr id="37" name="TextBox 36">
              <a:extLst>
                <a:ext uri="{FF2B5EF4-FFF2-40B4-BE49-F238E27FC236}">
                  <a16:creationId xmlns:a16="http://schemas.microsoft.com/office/drawing/2014/main" id="{A99594D5-CAED-4EFC-979F-0BFEB023ABB8}"/>
                </a:ext>
              </a:extLst>
            </xdr:cNvPr>
            <xdr:cNvSpPr txBox="1"/>
          </xdr:nvSpPr>
          <xdr:spPr>
            <a:xfrm>
              <a:off x="1759122" y="1318260"/>
              <a:ext cx="671658" cy="266700"/>
            </a:xfrm>
            <a:prstGeom prst="roundRect">
              <a:avLst/>
            </a:prstGeom>
            <a:noFill/>
            <a:ln w="1270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6271B641-5CCB-422D-A0EA-2B94FC7DC74E}" type="TxLink">
                <a:rPr lang="en-US" sz="2400" b="1" i="0" u="none" strike="noStrike">
                  <a:ln>
                    <a:solidFill>
                      <a:schemeClr val="bg1"/>
                    </a:solidFill>
                  </a:ln>
                  <a:gradFill>
                    <a:gsLst>
                      <a:gs pos="50000">
                        <a:srgbClr val="FF7722"/>
                      </a:gs>
                      <a:gs pos="50000">
                        <a:srgbClr val="00B0A3"/>
                      </a:gs>
                    </a:gsLst>
                    <a:lin ang="0" scaled="1"/>
                  </a:gradFill>
                  <a:latin typeface="Aptos Narrow"/>
                </a:rPr>
                <a:pPr algn="ctr"/>
                <a:t>6</a:t>
              </a:fld>
              <a:endParaRPr lang="en-IN" sz="2400" b="1">
                <a:ln>
                  <a:solidFill>
                    <a:schemeClr val="bg1"/>
                  </a:solidFill>
                </a:ln>
                <a:gradFill>
                  <a:gsLst>
                    <a:gs pos="50000">
                      <a:srgbClr val="FF7722"/>
                    </a:gs>
                    <a:gs pos="50000">
                      <a:srgbClr val="00B0A3"/>
                    </a:gs>
                  </a:gsLst>
                  <a:lin ang="0" scaled="1"/>
                </a:gradFill>
              </a:endParaRPr>
            </a:p>
          </xdr:txBody>
        </xdr:sp>
      </xdr:grp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A8BC2BA-48E4-4BA8-8D57-D5035D82E178}"/>
              </a:ext>
            </a:extLst>
          </xdr:cNvPr>
          <xdr:cNvSpPr txBox="1"/>
        </xdr:nvSpPr>
        <xdr:spPr>
          <a:xfrm>
            <a:off x="3113706" y="708660"/>
            <a:ext cx="1986276" cy="304800"/>
          </a:xfrm>
          <a:prstGeom prst="roundRect">
            <a:avLst/>
          </a:prstGeom>
          <a:noFill/>
          <a:ln w="1270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400" b="1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AVG TOOLS</a:t>
            </a:r>
            <a:r>
              <a:rPr lang="en-IN" sz="1400" b="1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 USED DAILY</a:t>
            </a:r>
            <a:endParaRPr lang="en-IN" sz="1400" b="1">
              <a:ln>
                <a:solidFill>
                  <a:schemeClr val="tx1"/>
                </a:solidFill>
              </a:ln>
              <a:solidFill>
                <a:schemeClr val="tx1"/>
              </a:solidFill>
            </a:endParaRPr>
          </a:p>
        </xdr:txBody>
      </xdr:sp>
      <xdr:cxnSp macro="">
        <xdr:nvCxnSpPr>
          <xdr:cNvPr id="40" name="Connector: Elbow 39">
            <a:extLst>
              <a:ext uri="{FF2B5EF4-FFF2-40B4-BE49-F238E27FC236}">
                <a16:creationId xmlns:a16="http://schemas.microsoft.com/office/drawing/2014/main" id="{94C06E36-8645-4F42-91DB-A850B4EAC4A5}"/>
              </a:ext>
            </a:extLst>
          </xdr:cNvPr>
          <xdr:cNvCxnSpPr/>
        </xdr:nvCxnSpPr>
        <xdr:spPr>
          <a:xfrm rot="16200000" flipH="1">
            <a:off x="3946824" y="1073764"/>
            <a:ext cx="320040" cy="47031"/>
          </a:xfrm>
          <a:prstGeom prst="bentConnector3">
            <a:avLst/>
          </a:prstGeom>
          <a:ln>
            <a:solidFill>
              <a:schemeClr val="tx1"/>
            </a:solidFill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9A97AC64-6028-4487-B30A-95B257A4DE0B}"/>
              </a:ext>
            </a:extLst>
          </xdr:cNvPr>
          <xdr:cNvSpPr txBox="1"/>
        </xdr:nvSpPr>
        <xdr:spPr>
          <a:xfrm>
            <a:off x="7085250" y="708660"/>
            <a:ext cx="1986276" cy="304800"/>
          </a:xfrm>
          <a:prstGeom prst="roundRect">
            <a:avLst/>
          </a:prstGeom>
          <a:noFill/>
          <a:ln w="1270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400" b="1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AVG DAILY</a:t>
            </a:r>
            <a:r>
              <a:rPr lang="en-IN" sz="1400" b="1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 PROMPTS</a:t>
            </a:r>
            <a:endParaRPr lang="en-IN" sz="1400" b="1">
              <a:ln>
                <a:solidFill>
                  <a:schemeClr val="tx1"/>
                </a:solidFill>
              </a:ln>
              <a:solidFill>
                <a:schemeClr val="tx1"/>
              </a:solidFill>
            </a:endParaRPr>
          </a:p>
        </xdr:txBody>
      </xdr:sp>
      <xdr:cxnSp macro="">
        <xdr:nvCxnSpPr>
          <xdr:cNvPr id="43" name="Connector: Elbow 42">
            <a:extLst>
              <a:ext uri="{FF2B5EF4-FFF2-40B4-BE49-F238E27FC236}">
                <a16:creationId xmlns:a16="http://schemas.microsoft.com/office/drawing/2014/main" id="{DD7B40A8-9CDD-4ABE-9DFC-9A0D9F8431E2}"/>
              </a:ext>
            </a:extLst>
          </xdr:cNvPr>
          <xdr:cNvCxnSpPr/>
        </xdr:nvCxnSpPr>
        <xdr:spPr>
          <a:xfrm rot="16200000" flipH="1">
            <a:off x="7989466" y="1149964"/>
            <a:ext cx="320040" cy="47031"/>
          </a:xfrm>
          <a:prstGeom prst="bentConnector3">
            <a:avLst/>
          </a:prstGeom>
          <a:ln>
            <a:solidFill>
              <a:schemeClr val="tx1"/>
            </a:solidFill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E7F567F7-3976-491D-A78C-1CE1F85BBEB9}"/>
              </a:ext>
            </a:extLst>
          </xdr:cNvPr>
          <xdr:cNvSpPr txBox="1"/>
        </xdr:nvSpPr>
        <xdr:spPr>
          <a:xfrm>
            <a:off x="5150358" y="731520"/>
            <a:ext cx="1986276" cy="304800"/>
          </a:xfrm>
          <a:prstGeom prst="roundRect">
            <a:avLst/>
          </a:prstGeom>
          <a:noFill/>
          <a:ln w="1270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400" b="1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AVG DAILY</a:t>
            </a:r>
            <a:r>
              <a:rPr lang="en-IN" sz="1400" b="1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 SESSIONS</a:t>
            </a:r>
            <a:endParaRPr lang="en-IN" sz="1400" b="1">
              <a:ln>
                <a:solidFill>
                  <a:schemeClr val="tx1"/>
                </a:solidFill>
              </a:ln>
              <a:solidFill>
                <a:schemeClr val="tx1"/>
              </a:solidFill>
            </a:endParaRPr>
          </a:p>
        </xdr:txBody>
      </xdr:sp>
      <xdr:cxnSp macro="">
        <xdr:nvCxnSpPr>
          <xdr:cNvPr id="45" name="Connector: Elbow 44">
            <a:extLst>
              <a:ext uri="{FF2B5EF4-FFF2-40B4-BE49-F238E27FC236}">
                <a16:creationId xmlns:a16="http://schemas.microsoft.com/office/drawing/2014/main" id="{80852226-05F4-411A-A6E4-6AF94E421516}"/>
              </a:ext>
            </a:extLst>
          </xdr:cNvPr>
          <xdr:cNvCxnSpPr/>
        </xdr:nvCxnSpPr>
        <xdr:spPr>
          <a:xfrm rot="16200000" flipH="1">
            <a:off x="5983476" y="1157584"/>
            <a:ext cx="320040" cy="47031"/>
          </a:xfrm>
          <a:prstGeom prst="bentConnector3">
            <a:avLst/>
          </a:prstGeom>
          <a:ln>
            <a:solidFill>
              <a:schemeClr val="tx1"/>
            </a:solidFill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51020F40-9ED2-4C8E-B2E9-54BECA1F2C86}"/>
              </a:ext>
            </a:extLst>
          </xdr:cNvPr>
          <xdr:cNvGrpSpPr/>
        </xdr:nvGrpSpPr>
        <xdr:grpSpPr>
          <a:xfrm>
            <a:off x="3062904" y="723900"/>
            <a:ext cx="2126316" cy="891540"/>
            <a:chOff x="1026840" y="723900"/>
            <a:chExt cx="2126316" cy="891540"/>
          </a:xfrm>
        </xdr:grpSpPr>
        <xdr:sp macro="" textlink="">
          <xdr:nvSpPr>
            <xdr:cNvPr id="49" name="Rectangle: Rounded Corners 48">
              <a:extLst>
                <a:ext uri="{FF2B5EF4-FFF2-40B4-BE49-F238E27FC236}">
                  <a16:creationId xmlns:a16="http://schemas.microsoft.com/office/drawing/2014/main" id="{9A069C6E-43EE-159D-127B-5E607AA6E9E2}"/>
                </a:ext>
              </a:extLst>
            </xdr:cNvPr>
            <xdr:cNvSpPr/>
          </xdr:nvSpPr>
          <xdr:spPr>
            <a:xfrm>
              <a:off x="1066800" y="723900"/>
              <a:ext cx="2023200" cy="891540"/>
            </a:xfrm>
            <a:prstGeom prst="roundRect">
              <a:avLst/>
            </a:prstGeom>
            <a:gradFill flip="none" rotWithShape="1">
              <a:gsLst>
                <a:gs pos="50000">
                  <a:srgbClr val="00B0A3"/>
                </a:gs>
                <a:gs pos="50000">
                  <a:srgbClr val="FF7722"/>
                </a:gs>
              </a:gsLst>
              <a:path path="circle">
                <a:fillToRect l="100000" t="100000"/>
              </a:path>
              <a:tileRect r="-100000" b="-100000"/>
            </a:gra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11A48D1C-CFA0-2F97-B2CC-8FC76A421E22}"/>
                </a:ext>
              </a:extLst>
            </xdr:cNvPr>
            <xdr:cNvSpPr txBox="1"/>
          </xdr:nvSpPr>
          <xdr:spPr>
            <a:xfrm>
              <a:off x="1026840" y="739140"/>
              <a:ext cx="2126316" cy="281940"/>
            </a:xfrm>
            <a:prstGeom prst="roundRect">
              <a:avLst/>
            </a:prstGeom>
            <a:noFill/>
            <a:ln w="1270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600" b="0">
                  <a:ln>
                    <a:solidFill>
                      <a:schemeClr val="tx1"/>
                    </a:solidFill>
                  </a:ln>
                  <a:solidFill>
                    <a:schemeClr val="tx1"/>
                  </a:solidFill>
                </a:rPr>
                <a:t>Daily Avg used Tools</a:t>
              </a:r>
            </a:p>
          </xdr:txBody>
        </xdr:sp>
        <xdr:cxnSp macro="">
          <xdr:nvCxnSpPr>
            <xdr:cNvPr id="51" name="Connector: Elbow 50">
              <a:extLst>
                <a:ext uri="{FF2B5EF4-FFF2-40B4-BE49-F238E27FC236}">
                  <a16:creationId xmlns:a16="http://schemas.microsoft.com/office/drawing/2014/main" id="{E5D6DB5E-934A-C7F0-3501-237F176E5D27}"/>
                </a:ext>
              </a:extLst>
            </xdr:cNvPr>
            <xdr:cNvCxnSpPr/>
          </xdr:nvCxnSpPr>
          <xdr:spPr>
            <a:xfrm rot="16200000" flipH="1">
              <a:off x="1918380" y="1134724"/>
              <a:ext cx="320040" cy="47031"/>
            </a:xfrm>
            <a:prstGeom prst="bentConnector3">
              <a:avLst/>
            </a:prstGeom>
            <a:ln>
              <a:solidFill>
                <a:schemeClr val="tx1"/>
              </a:solidFill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CAL!E23">
          <xdr:nvSpPr>
            <xdr:cNvPr id="52" name="TextBox 51">
              <a:extLst>
                <a:ext uri="{FF2B5EF4-FFF2-40B4-BE49-F238E27FC236}">
                  <a16:creationId xmlns:a16="http://schemas.microsoft.com/office/drawing/2014/main" id="{28D1DD53-B098-CC83-E50D-F336A06C09E3}"/>
                </a:ext>
              </a:extLst>
            </xdr:cNvPr>
            <xdr:cNvSpPr txBox="1"/>
          </xdr:nvSpPr>
          <xdr:spPr>
            <a:xfrm>
              <a:off x="1759122" y="1318260"/>
              <a:ext cx="671658" cy="266700"/>
            </a:xfrm>
            <a:prstGeom prst="roundRect">
              <a:avLst/>
            </a:prstGeom>
            <a:noFill/>
            <a:ln w="1270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5388E660-8B98-421A-961F-07387BE05088}" type="TxLink">
                <a:rPr lang="en-US" sz="2400" b="1" i="0" u="none" strike="noStrike">
                  <a:ln>
                    <a:solidFill>
                      <a:schemeClr val="bg1"/>
                    </a:solidFill>
                  </a:ln>
                  <a:gradFill flip="none" rotWithShape="1">
                    <a:gsLst>
                      <a:gs pos="50000">
                        <a:srgbClr val="00B0A3"/>
                      </a:gs>
                      <a:gs pos="50000">
                        <a:srgbClr val="FF7722"/>
                      </a:gs>
                    </a:gsLst>
                    <a:lin ang="0" scaled="1"/>
                    <a:tileRect/>
                  </a:gradFill>
                  <a:latin typeface="Aptos Narrow"/>
                </a:rPr>
                <a:pPr algn="ctr"/>
                <a:t>4</a:t>
              </a:fld>
              <a:endParaRPr lang="en-IN" sz="2400" b="1">
                <a:ln>
                  <a:solidFill>
                    <a:schemeClr val="bg1"/>
                  </a:solidFill>
                </a:ln>
                <a:gradFill flip="none" rotWithShape="1">
                  <a:gsLst>
                    <a:gs pos="50000">
                      <a:srgbClr val="00B0A3"/>
                    </a:gs>
                    <a:gs pos="50000">
                      <a:srgbClr val="FF7722"/>
                    </a:gs>
                  </a:gsLst>
                  <a:lin ang="0" scaled="1"/>
                  <a:tileRect/>
                </a:gradFill>
              </a:endParaRPr>
            </a:p>
          </xdr:txBody>
        </xdr:sp>
      </xdr:grpSp>
      <xdr:sp macro="" textlink="">
        <xdr:nvSpPr>
          <xdr:cNvPr id="54" name="Rectangle: Rounded Corners 53">
            <a:extLst>
              <a:ext uri="{FF2B5EF4-FFF2-40B4-BE49-F238E27FC236}">
                <a16:creationId xmlns:a16="http://schemas.microsoft.com/office/drawing/2014/main" id="{005A7490-BC3B-D091-767B-C484C1AB81C4}"/>
              </a:ext>
            </a:extLst>
          </xdr:cNvPr>
          <xdr:cNvSpPr/>
        </xdr:nvSpPr>
        <xdr:spPr>
          <a:xfrm>
            <a:off x="5138928" y="723900"/>
            <a:ext cx="2023200" cy="891540"/>
          </a:xfrm>
          <a:prstGeom prst="roundRect">
            <a:avLst/>
          </a:prstGeom>
          <a:gradFill flip="none" rotWithShape="1">
            <a:gsLst>
              <a:gs pos="50000">
                <a:srgbClr val="00B0A3"/>
              </a:gs>
              <a:gs pos="50000">
                <a:srgbClr val="FF7722"/>
              </a:gs>
            </a:gsLst>
            <a:path path="circle">
              <a:fillToRect l="100000" t="100000"/>
            </a:path>
            <a:tileRect r="-100000" b="-100000"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52F0C28A-D1D5-C75E-103B-3AA2A8043320}"/>
              </a:ext>
            </a:extLst>
          </xdr:cNvPr>
          <xdr:cNvSpPr txBox="1"/>
        </xdr:nvSpPr>
        <xdr:spPr>
          <a:xfrm>
            <a:off x="5160522" y="739140"/>
            <a:ext cx="1979418" cy="281940"/>
          </a:xfrm>
          <a:prstGeom prst="roundRect">
            <a:avLst/>
          </a:prstGeom>
          <a:noFill/>
          <a:ln w="1270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600" b="0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Daily Avg Sessions</a:t>
            </a:r>
            <a:endParaRPr lang="en-IN" sz="1600" b="0">
              <a:ln>
                <a:solidFill>
                  <a:schemeClr val="tx1"/>
                </a:solidFill>
              </a:ln>
              <a:solidFill>
                <a:schemeClr val="tx1"/>
              </a:solidFill>
            </a:endParaRPr>
          </a:p>
        </xdr:txBody>
      </xdr:sp>
      <xdr:cxnSp macro="">
        <xdr:nvCxnSpPr>
          <xdr:cNvPr id="56" name="Connector: Elbow 55">
            <a:extLst>
              <a:ext uri="{FF2B5EF4-FFF2-40B4-BE49-F238E27FC236}">
                <a16:creationId xmlns:a16="http://schemas.microsoft.com/office/drawing/2014/main" id="{90D8BAAC-73EC-A0CC-F79E-6933203BA611}"/>
              </a:ext>
            </a:extLst>
          </xdr:cNvPr>
          <xdr:cNvCxnSpPr/>
        </xdr:nvCxnSpPr>
        <xdr:spPr>
          <a:xfrm rot="16200000" flipH="1">
            <a:off x="5990508" y="1134724"/>
            <a:ext cx="320040" cy="47031"/>
          </a:xfrm>
          <a:prstGeom prst="bentConnector3">
            <a:avLst/>
          </a:prstGeom>
          <a:ln>
            <a:solidFill>
              <a:schemeClr val="tx1"/>
            </a:solidFill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CAL!H23">
        <xdr:nvSpPr>
          <xdr:cNvPr id="57" name="TextBox 56">
            <a:extLst>
              <a:ext uri="{FF2B5EF4-FFF2-40B4-BE49-F238E27FC236}">
                <a16:creationId xmlns:a16="http://schemas.microsoft.com/office/drawing/2014/main" id="{4E533D19-4287-934B-F781-94F1162D9871}"/>
              </a:ext>
            </a:extLst>
          </xdr:cNvPr>
          <xdr:cNvSpPr txBox="1"/>
        </xdr:nvSpPr>
        <xdr:spPr>
          <a:xfrm>
            <a:off x="5831250" y="1318260"/>
            <a:ext cx="671658" cy="266700"/>
          </a:xfrm>
          <a:prstGeom prst="roundRect">
            <a:avLst/>
          </a:prstGeom>
          <a:noFill/>
          <a:ln w="1270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8399345E-1392-4266-B611-E62FF3877481}" type="TxLink">
              <a:rPr lang="en-US" sz="2400" b="1" i="0" u="none" strike="noStrike">
                <a:ln>
                  <a:solidFill>
                    <a:schemeClr val="bg1"/>
                  </a:solidFill>
                </a:ln>
                <a:gradFill>
                  <a:gsLst>
                    <a:gs pos="50000">
                      <a:srgbClr val="00B0A3"/>
                    </a:gs>
                    <a:gs pos="50000">
                      <a:srgbClr val="FF7722"/>
                    </a:gs>
                  </a:gsLst>
                  <a:lin ang="0" scaled="1"/>
                </a:gradFill>
                <a:latin typeface="Aptos Narrow"/>
              </a:rPr>
              <a:pPr algn="ctr"/>
              <a:t>6</a:t>
            </a:fld>
            <a:endParaRPr lang="en-IN" sz="2400" b="1">
              <a:ln>
                <a:solidFill>
                  <a:schemeClr val="bg1"/>
                </a:solidFill>
              </a:ln>
              <a:gradFill>
                <a:gsLst>
                  <a:gs pos="50000">
                    <a:srgbClr val="00B0A3"/>
                  </a:gs>
                  <a:gs pos="50000">
                    <a:srgbClr val="FF7722"/>
                  </a:gs>
                </a:gsLst>
                <a:lin ang="0" scaled="1"/>
              </a:gradFill>
            </a:endParaRPr>
          </a:p>
        </xdr:txBody>
      </xdr:sp>
      <xdr:sp macro="" textlink="">
        <xdr:nvSpPr>
          <xdr:cNvPr id="59" name="Rectangle: Rounded Corners 58">
            <a:extLst>
              <a:ext uri="{FF2B5EF4-FFF2-40B4-BE49-F238E27FC236}">
                <a16:creationId xmlns:a16="http://schemas.microsoft.com/office/drawing/2014/main" id="{C99149EB-B1C8-FACC-5B96-85EE9DCBF568}"/>
              </a:ext>
            </a:extLst>
          </xdr:cNvPr>
          <xdr:cNvSpPr/>
        </xdr:nvSpPr>
        <xdr:spPr>
          <a:xfrm>
            <a:off x="7174992" y="723900"/>
            <a:ext cx="2023200" cy="891540"/>
          </a:xfrm>
          <a:prstGeom prst="roundRect">
            <a:avLst/>
          </a:prstGeom>
          <a:gradFill flip="none" rotWithShape="1">
            <a:gsLst>
              <a:gs pos="50000">
                <a:srgbClr val="00B0A3"/>
              </a:gs>
              <a:gs pos="50000">
                <a:srgbClr val="FF7722"/>
              </a:gs>
            </a:gsLst>
            <a:path path="circle">
              <a:fillToRect l="100000" t="100000"/>
            </a:path>
            <a:tileRect r="-100000" b="-100000"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591D2DCA-7F13-B74F-84C8-8167E2E1CFDE}"/>
              </a:ext>
            </a:extLst>
          </xdr:cNvPr>
          <xdr:cNvSpPr txBox="1"/>
        </xdr:nvSpPr>
        <xdr:spPr>
          <a:xfrm>
            <a:off x="7051212" y="762000"/>
            <a:ext cx="2306148" cy="281940"/>
          </a:xfrm>
          <a:prstGeom prst="roundRect">
            <a:avLst/>
          </a:prstGeom>
          <a:noFill/>
          <a:ln w="1270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600" b="0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Daily Avg Prompts</a:t>
            </a:r>
            <a:endParaRPr lang="en-IN" sz="1600" b="0">
              <a:ln>
                <a:solidFill>
                  <a:schemeClr val="tx1"/>
                </a:solidFill>
              </a:ln>
              <a:solidFill>
                <a:schemeClr val="tx1"/>
              </a:solidFill>
            </a:endParaRPr>
          </a:p>
        </xdr:txBody>
      </xdr:sp>
      <xdr:cxnSp macro="">
        <xdr:nvCxnSpPr>
          <xdr:cNvPr id="61" name="Connector: Elbow 60">
            <a:extLst>
              <a:ext uri="{FF2B5EF4-FFF2-40B4-BE49-F238E27FC236}">
                <a16:creationId xmlns:a16="http://schemas.microsoft.com/office/drawing/2014/main" id="{515D2BFC-7B5B-D0DF-C12A-D29981475C32}"/>
              </a:ext>
            </a:extLst>
          </xdr:cNvPr>
          <xdr:cNvCxnSpPr/>
        </xdr:nvCxnSpPr>
        <xdr:spPr>
          <a:xfrm rot="16200000" flipH="1">
            <a:off x="8026572" y="1149964"/>
            <a:ext cx="320040" cy="47031"/>
          </a:xfrm>
          <a:prstGeom prst="bentConnector3">
            <a:avLst/>
          </a:prstGeom>
          <a:ln>
            <a:solidFill>
              <a:schemeClr val="tx1"/>
            </a:solidFill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CAL!F23">
        <xdr:nvSpPr>
          <xdr:cNvPr id="62" name="TextBox 61">
            <a:extLst>
              <a:ext uri="{FF2B5EF4-FFF2-40B4-BE49-F238E27FC236}">
                <a16:creationId xmlns:a16="http://schemas.microsoft.com/office/drawing/2014/main" id="{FA8C6D5D-2FAD-B233-7555-F3577AF5CDBD}"/>
              </a:ext>
            </a:extLst>
          </xdr:cNvPr>
          <xdr:cNvSpPr txBox="1"/>
        </xdr:nvSpPr>
        <xdr:spPr>
          <a:xfrm>
            <a:off x="7867314" y="1318260"/>
            <a:ext cx="671658" cy="266700"/>
          </a:xfrm>
          <a:prstGeom prst="roundRect">
            <a:avLst/>
          </a:prstGeom>
          <a:noFill/>
          <a:ln w="1270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89C35007-9453-48FB-A675-84EB9B448230}" type="TxLink">
              <a:rPr lang="en-US" sz="2400" b="1" i="0" u="none" strike="noStrike">
                <a:ln>
                  <a:solidFill>
                    <a:schemeClr val="bg1"/>
                  </a:solidFill>
                </a:ln>
                <a:gradFill>
                  <a:gsLst>
                    <a:gs pos="50000">
                      <a:srgbClr val="00B0A3"/>
                    </a:gs>
                    <a:gs pos="50000">
                      <a:srgbClr val="FF7722"/>
                    </a:gs>
                  </a:gsLst>
                  <a:lin ang="0" scaled="1"/>
                </a:gradFill>
                <a:latin typeface="Aptos Narrow"/>
              </a:rPr>
              <a:pPr algn="ctr"/>
              <a:t>14</a:t>
            </a:fld>
            <a:endParaRPr lang="en-IN" sz="2400" b="1">
              <a:ln>
                <a:solidFill>
                  <a:schemeClr val="bg1"/>
                </a:solidFill>
              </a:ln>
              <a:gradFill>
                <a:gsLst>
                  <a:gs pos="50000">
                    <a:srgbClr val="00B0A3"/>
                  </a:gs>
                  <a:gs pos="50000">
                    <a:srgbClr val="FF7722"/>
                  </a:gs>
                </a:gsLst>
                <a:lin ang="0" scaled="1"/>
              </a:gradFill>
            </a:endParaRPr>
          </a:p>
        </xdr:txBody>
      </xdr:sp>
      <xdr:sp macro="" textlink="">
        <xdr:nvSpPr>
          <xdr:cNvPr id="64" name="Rectangle: Rounded Corners 63">
            <a:extLst>
              <a:ext uri="{FF2B5EF4-FFF2-40B4-BE49-F238E27FC236}">
                <a16:creationId xmlns:a16="http://schemas.microsoft.com/office/drawing/2014/main" id="{C519043F-0B75-C27C-D860-2798E66BBFE2}"/>
              </a:ext>
            </a:extLst>
          </xdr:cNvPr>
          <xdr:cNvSpPr/>
        </xdr:nvSpPr>
        <xdr:spPr>
          <a:xfrm>
            <a:off x="9211056" y="723900"/>
            <a:ext cx="2023200" cy="891540"/>
          </a:xfrm>
          <a:prstGeom prst="roundRect">
            <a:avLst/>
          </a:prstGeom>
          <a:gradFill flip="none" rotWithShape="1">
            <a:gsLst>
              <a:gs pos="50000">
                <a:srgbClr val="00B0A3"/>
              </a:gs>
              <a:gs pos="50000">
                <a:srgbClr val="FF7722"/>
              </a:gs>
            </a:gsLst>
            <a:path path="circle">
              <a:fillToRect l="100000" t="100000"/>
            </a:path>
            <a:tileRect r="-100000" b="-100000"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BB533E7D-B87B-F9C5-C7C7-FBE6A211397F}"/>
              </a:ext>
            </a:extLst>
          </xdr:cNvPr>
          <xdr:cNvSpPr txBox="1"/>
        </xdr:nvSpPr>
        <xdr:spPr>
          <a:xfrm>
            <a:off x="9498756" y="746760"/>
            <a:ext cx="1518240" cy="281940"/>
          </a:xfrm>
          <a:prstGeom prst="roundRect">
            <a:avLst/>
          </a:prstGeom>
          <a:noFill/>
          <a:ln w="1270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600" b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Daily</a:t>
            </a:r>
            <a:r>
              <a:rPr lang="en-IN" sz="1600" b="0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 Avg Token </a:t>
            </a:r>
            <a:endParaRPr lang="en-IN" sz="1600" b="0">
              <a:ln>
                <a:solidFill>
                  <a:schemeClr val="tx1"/>
                </a:solidFill>
              </a:ln>
              <a:solidFill>
                <a:schemeClr val="tx1"/>
              </a:solidFill>
            </a:endParaRPr>
          </a:p>
        </xdr:txBody>
      </xdr:sp>
      <xdr:cxnSp macro="">
        <xdr:nvCxnSpPr>
          <xdr:cNvPr id="66" name="Connector: Elbow 65">
            <a:extLst>
              <a:ext uri="{FF2B5EF4-FFF2-40B4-BE49-F238E27FC236}">
                <a16:creationId xmlns:a16="http://schemas.microsoft.com/office/drawing/2014/main" id="{7A9857D7-A820-9DE1-CBA8-2F7056471012}"/>
              </a:ext>
            </a:extLst>
          </xdr:cNvPr>
          <xdr:cNvCxnSpPr/>
        </xdr:nvCxnSpPr>
        <xdr:spPr>
          <a:xfrm rot="16200000" flipH="1">
            <a:off x="10062636" y="1134724"/>
            <a:ext cx="320040" cy="47031"/>
          </a:xfrm>
          <a:prstGeom prst="bentConnector3">
            <a:avLst/>
          </a:prstGeom>
          <a:ln>
            <a:solidFill>
              <a:schemeClr val="tx1"/>
            </a:solidFill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CAL!G23">
        <xdr:nvSpPr>
          <xdr:cNvPr id="67" name="TextBox 66">
            <a:extLst>
              <a:ext uri="{FF2B5EF4-FFF2-40B4-BE49-F238E27FC236}">
                <a16:creationId xmlns:a16="http://schemas.microsoft.com/office/drawing/2014/main" id="{B77DF796-59D7-B64D-BD04-50FA2550FD0F}"/>
              </a:ext>
            </a:extLst>
          </xdr:cNvPr>
          <xdr:cNvSpPr txBox="1"/>
        </xdr:nvSpPr>
        <xdr:spPr>
          <a:xfrm>
            <a:off x="9741285" y="1318260"/>
            <a:ext cx="962742" cy="266700"/>
          </a:xfrm>
          <a:prstGeom prst="roundRect">
            <a:avLst/>
          </a:prstGeom>
          <a:noFill/>
          <a:ln w="1270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67C29E25-8625-46EA-A61D-92790DF46C74}" type="TxLink">
              <a:rPr lang="en-US" sz="2400" b="1" i="0" u="none" strike="noStrike">
                <a:ln>
                  <a:solidFill>
                    <a:schemeClr val="bg1"/>
                  </a:solidFill>
                </a:ln>
                <a:gradFill>
                  <a:gsLst>
                    <a:gs pos="50000">
                      <a:srgbClr val="00B0A3"/>
                    </a:gs>
                    <a:gs pos="50000">
                      <a:srgbClr val="FF7722"/>
                    </a:gs>
                  </a:gsLst>
                  <a:lin ang="0" scaled="1"/>
                </a:gradFill>
                <a:latin typeface="Aptos Narrow"/>
              </a:rPr>
              <a:pPr algn="ctr"/>
              <a:t>4994</a:t>
            </a:fld>
            <a:endParaRPr lang="en-IN" sz="2400" b="1">
              <a:ln>
                <a:solidFill>
                  <a:schemeClr val="bg1"/>
                </a:solidFill>
              </a:ln>
              <a:gradFill>
                <a:gsLst>
                  <a:gs pos="50000">
                    <a:srgbClr val="00B0A3"/>
                  </a:gs>
                  <a:gs pos="50000">
                    <a:srgbClr val="FF7722"/>
                  </a:gs>
                </a:gsLst>
                <a:lin ang="0" scaled="1"/>
              </a:gradFill>
            </a:endParaRPr>
          </a:p>
        </xdr:txBody>
      </xdr:sp>
      <xdr:grpSp>
        <xdr:nvGrpSpPr>
          <xdr:cNvPr id="68" name="Group 67">
            <a:extLst>
              <a:ext uri="{FF2B5EF4-FFF2-40B4-BE49-F238E27FC236}">
                <a16:creationId xmlns:a16="http://schemas.microsoft.com/office/drawing/2014/main" id="{DF59CBBA-F1ED-4E09-9F5A-EA3A40C015B1}"/>
              </a:ext>
            </a:extLst>
          </xdr:cNvPr>
          <xdr:cNvGrpSpPr/>
        </xdr:nvGrpSpPr>
        <xdr:grpSpPr>
          <a:xfrm>
            <a:off x="11247120" y="723900"/>
            <a:ext cx="1996440" cy="891540"/>
            <a:chOff x="1066800" y="723900"/>
            <a:chExt cx="2023200" cy="891540"/>
          </a:xfrm>
        </xdr:grpSpPr>
        <xdr:sp macro="" textlink="">
          <xdr:nvSpPr>
            <xdr:cNvPr id="69" name="Rectangle: Rounded Corners 68">
              <a:extLst>
                <a:ext uri="{FF2B5EF4-FFF2-40B4-BE49-F238E27FC236}">
                  <a16:creationId xmlns:a16="http://schemas.microsoft.com/office/drawing/2014/main" id="{78AB7488-ADC6-E0FE-60F2-842647111D8F}"/>
                </a:ext>
              </a:extLst>
            </xdr:cNvPr>
            <xdr:cNvSpPr/>
          </xdr:nvSpPr>
          <xdr:spPr>
            <a:xfrm>
              <a:off x="1066800" y="723900"/>
              <a:ext cx="2023200" cy="891540"/>
            </a:xfrm>
            <a:prstGeom prst="roundRect">
              <a:avLst/>
            </a:prstGeom>
            <a:gradFill flip="none" rotWithShape="1">
              <a:gsLst>
                <a:gs pos="50000">
                  <a:srgbClr val="00B0A3"/>
                </a:gs>
                <a:gs pos="50000">
                  <a:srgbClr val="FF7722"/>
                </a:gs>
              </a:gsLst>
              <a:path path="circle">
                <a:fillToRect l="100000" t="100000"/>
              </a:path>
              <a:tileRect r="-100000" b="-100000"/>
            </a:gra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6E138020-C06C-6AEA-2329-3A0B612FE564}"/>
                </a:ext>
              </a:extLst>
            </xdr:cNvPr>
            <xdr:cNvSpPr txBox="1"/>
          </xdr:nvSpPr>
          <xdr:spPr>
            <a:xfrm>
              <a:off x="1277279" y="746760"/>
              <a:ext cx="1781833" cy="281940"/>
            </a:xfrm>
            <a:prstGeom prst="roundRect">
              <a:avLst/>
            </a:prstGeom>
            <a:noFill/>
            <a:ln w="1270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600" b="0">
                  <a:ln>
                    <a:solidFill>
                      <a:schemeClr val="tx1"/>
                    </a:solidFill>
                  </a:ln>
                  <a:solidFill>
                    <a:schemeClr val="tx1"/>
                  </a:solidFill>
                </a:rPr>
                <a:t>Daily Avg Duration</a:t>
              </a:r>
            </a:p>
          </xdr:txBody>
        </xdr:sp>
        <xdr:cxnSp macro="">
          <xdr:nvCxnSpPr>
            <xdr:cNvPr id="71" name="Connector: Elbow 70">
              <a:extLst>
                <a:ext uri="{FF2B5EF4-FFF2-40B4-BE49-F238E27FC236}">
                  <a16:creationId xmlns:a16="http://schemas.microsoft.com/office/drawing/2014/main" id="{9089F678-A03A-C1C0-6060-3B12C43D1185}"/>
                </a:ext>
              </a:extLst>
            </xdr:cNvPr>
            <xdr:cNvCxnSpPr/>
          </xdr:nvCxnSpPr>
          <xdr:spPr>
            <a:xfrm rot="16200000" flipH="1">
              <a:off x="1918380" y="1134724"/>
              <a:ext cx="320040" cy="47031"/>
            </a:xfrm>
            <a:prstGeom prst="bentConnector3">
              <a:avLst/>
            </a:prstGeom>
            <a:ln>
              <a:solidFill>
                <a:schemeClr val="tx1"/>
              </a:solidFill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CAL!I23">
          <xdr:nvSpPr>
            <xdr:cNvPr id="72" name="TextBox 71">
              <a:extLst>
                <a:ext uri="{FF2B5EF4-FFF2-40B4-BE49-F238E27FC236}">
                  <a16:creationId xmlns:a16="http://schemas.microsoft.com/office/drawing/2014/main" id="{195DBBA5-17DE-4586-05CF-7EC09D69F87E}"/>
                </a:ext>
              </a:extLst>
            </xdr:cNvPr>
            <xdr:cNvSpPr txBox="1"/>
          </xdr:nvSpPr>
          <xdr:spPr>
            <a:xfrm>
              <a:off x="1427069" y="1325880"/>
              <a:ext cx="1338601" cy="266700"/>
            </a:xfrm>
            <a:prstGeom prst="roundRect">
              <a:avLst/>
            </a:prstGeom>
            <a:noFill/>
            <a:ln w="1270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85E4AAAE-4AF0-49B1-B80D-B9A0794D8CFF}" type="TxLink">
                <a:rPr lang="en-US" sz="2400" b="1" i="0" u="none" strike="noStrike">
                  <a:ln>
                    <a:solidFill>
                      <a:schemeClr val="bg1"/>
                    </a:solidFill>
                  </a:ln>
                  <a:gradFill>
                    <a:gsLst>
                      <a:gs pos="50000">
                        <a:srgbClr val="FF7722"/>
                      </a:gs>
                      <a:gs pos="50000">
                        <a:srgbClr val="00B0A3"/>
                      </a:gs>
                    </a:gsLst>
                    <a:lin ang="0" scaled="1"/>
                  </a:gradFill>
                  <a:latin typeface="Aptos Narrow"/>
                </a:rPr>
                <a:pPr algn="ctr"/>
                <a:t>09:05:03</a:t>
              </a:fld>
              <a:endParaRPr lang="en-IN" sz="2400" b="1">
                <a:ln>
                  <a:solidFill>
                    <a:schemeClr val="bg1"/>
                  </a:solidFill>
                </a:ln>
                <a:gradFill>
                  <a:gsLst>
                    <a:gs pos="50000">
                      <a:srgbClr val="FF7722"/>
                    </a:gs>
                    <a:gs pos="50000">
                      <a:srgbClr val="00B0A3"/>
                    </a:gs>
                  </a:gsLst>
                  <a:lin ang="0" scaled="1"/>
                </a:gradFill>
              </a:endParaRPr>
            </a:p>
          </xdr:txBody>
        </xdr:sp>
      </xdr:grp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6D9EDDB7-42BB-4F81-9860-EEEC0F8FDA9F}"/>
              </a:ext>
            </a:extLst>
          </xdr:cNvPr>
          <xdr:cNvSpPr txBox="1"/>
        </xdr:nvSpPr>
        <xdr:spPr>
          <a:xfrm>
            <a:off x="7665720" y="4381500"/>
            <a:ext cx="502920" cy="212400"/>
          </a:xfrm>
          <a:prstGeom prst="roundRect">
            <a:avLst/>
          </a:prstGeom>
          <a:solidFill>
            <a:srgbClr val="FF7722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MON</a:t>
            </a: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202FAB64-DD53-41F2-AF01-EDED09EC87C8}"/>
              </a:ext>
            </a:extLst>
          </xdr:cNvPr>
          <xdr:cNvSpPr txBox="1"/>
        </xdr:nvSpPr>
        <xdr:spPr>
          <a:xfrm>
            <a:off x="9017000" y="4381500"/>
            <a:ext cx="741680" cy="212400"/>
          </a:xfrm>
          <a:prstGeom prst="roundRect">
            <a:avLst/>
          </a:prstGeom>
          <a:solidFill>
            <a:srgbClr val="FF7722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TOOLS</a:t>
            </a: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EF609E42-4CBC-428A-AF77-380841424DC9}"/>
              </a:ext>
            </a:extLst>
          </xdr:cNvPr>
          <xdr:cNvSpPr txBox="1"/>
        </xdr:nvSpPr>
        <xdr:spPr>
          <a:xfrm>
            <a:off x="11499215" y="4381500"/>
            <a:ext cx="770890" cy="212400"/>
          </a:xfrm>
          <a:prstGeom prst="roundRect">
            <a:avLst/>
          </a:prstGeom>
          <a:solidFill>
            <a:srgbClr val="FF7722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TOKENS</a:t>
            </a:r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7EC168A2-9CDD-4BC1-A57F-DC7B9A736911}"/>
              </a:ext>
            </a:extLst>
          </xdr:cNvPr>
          <xdr:cNvSpPr txBox="1"/>
        </xdr:nvSpPr>
        <xdr:spPr>
          <a:xfrm>
            <a:off x="12352020" y="4381500"/>
            <a:ext cx="838200" cy="213360"/>
          </a:xfrm>
          <a:prstGeom prst="roundRect">
            <a:avLst/>
          </a:prstGeom>
          <a:solidFill>
            <a:srgbClr val="FF7722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DURATION</a:t>
            </a: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42C64F4A-DF40-4233-8B6A-714DCABB4451}"/>
              </a:ext>
            </a:extLst>
          </xdr:cNvPr>
          <xdr:cNvSpPr txBox="1"/>
        </xdr:nvSpPr>
        <xdr:spPr>
          <a:xfrm>
            <a:off x="9840595" y="4381500"/>
            <a:ext cx="728980" cy="212400"/>
          </a:xfrm>
          <a:prstGeom prst="roundRect">
            <a:avLst/>
          </a:prstGeom>
          <a:solidFill>
            <a:srgbClr val="FF7722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SESSION</a:t>
            </a: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A96C244A-7005-4AE9-91D4-306FEDA51F3F}"/>
              </a:ext>
            </a:extLst>
          </xdr:cNvPr>
          <xdr:cNvSpPr txBox="1"/>
        </xdr:nvSpPr>
        <xdr:spPr>
          <a:xfrm>
            <a:off x="10643870" y="4381500"/>
            <a:ext cx="781050" cy="212400"/>
          </a:xfrm>
          <a:prstGeom prst="roundRect">
            <a:avLst/>
          </a:prstGeom>
          <a:solidFill>
            <a:srgbClr val="FF7722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PROMPTS</a:t>
            </a:r>
          </a:p>
        </xdr:txBody>
      </xdr:sp>
      <xdr:sp macro="" textlink="">
        <xdr:nvSpPr>
          <xdr:cNvPr id="82" name="TextBox 81">
            <a:extLst>
              <a:ext uri="{FF2B5EF4-FFF2-40B4-BE49-F238E27FC236}">
                <a16:creationId xmlns:a16="http://schemas.microsoft.com/office/drawing/2014/main" id="{B6D17CC1-444B-4D8A-A85E-35E46E945055}"/>
              </a:ext>
            </a:extLst>
          </xdr:cNvPr>
          <xdr:cNvSpPr txBox="1"/>
        </xdr:nvSpPr>
        <xdr:spPr>
          <a:xfrm>
            <a:off x="8303895" y="4381500"/>
            <a:ext cx="615950" cy="212400"/>
          </a:xfrm>
          <a:prstGeom prst="roundRect">
            <a:avLst/>
          </a:prstGeom>
          <a:solidFill>
            <a:srgbClr val="FF7722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USERS</a:t>
            </a:r>
          </a:p>
        </xdr:txBody>
      </xdr:sp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A670704-F7EB-F1B5-D604-6CA25FE76E36}"/>
              </a:ext>
            </a:extLst>
          </xdr:cNvPr>
          <xdr:cNvCxnSpPr/>
        </xdr:nvCxnSpPr>
        <xdr:spPr>
          <a:xfrm>
            <a:off x="8252460" y="4366260"/>
            <a:ext cx="0" cy="1722120"/>
          </a:xfrm>
          <a:prstGeom prst="line">
            <a:avLst/>
          </a:prstGeom>
          <a:ln>
            <a:solidFill>
              <a:schemeClr val="bg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6" name="Straight Connector 85">
            <a:extLst>
              <a:ext uri="{FF2B5EF4-FFF2-40B4-BE49-F238E27FC236}">
                <a16:creationId xmlns:a16="http://schemas.microsoft.com/office/drawing/2014/main" id="{F6FDA3C4-209F-4D5D-AFD5-46B727006550}"/>
              </a:ext>
            </a:extLst>
          </xdr:cNvPr>
          <xdr:cNvCxnSpPr/>
        </xdr:nvCxnSpPr>
        <xdr:spPr>
          <a:xfrm>
            <a:off x="11460480" y="4366260"/>
            <a:ext cx="0" cy="1722120"/>
          </a:xfrm>
          <a:prstGeom prst="line">
            <a:avLst/>
          </a:prstGeom>
          <a:ln>
            <a:solidFill>
              <a:schemeClr val="bg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" name="Straight Connector 86">
            <a:extLst>
              <a:ext uri="{FF2B5EF4-FFF2-40B4-BE49-F238E27FC236}">
                <a16:creationId xmlns:a16="http://schemas.microsoft.com/office/drawing/2014/main" id="{69BC0623-D67B-4BA2-A333-BEE62270B625}"/>
              </a:ext>
            </a:extLst>
          </xdr:cNvPr>
          <xdr:cNvCxnSpPr/>
        </xdr:nvCxnSpPr>
        <xdr:spPr>
          <a:xfrm>
            <a:off x="10607040" y="4366260"/>
            <a:ext cx="0" cy="1722120"/>
          </a:xfrm>
          <a:prstGeom prst="line">
            <a:avLst/>
          </a:prstGeom>
          <a:ln>
            <a:solidFill>
              <a:schemeClr val="bg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8" name="Straight Connector 87">
            <a:extLst>
              <a:ext uri="{FF2B5EF4-FFF2-40B4-BE49-F238E27FC236}">
                <a16:creationId xmlns:a16="http://schemas.microsoft.com/office/drawing/2014/main" id="{78F5EBFB-DE49-49C5-B1A8-9B4E273490E6}"/>
              </a:ext>
            </a:extLst>
          </xdr:cNvPr>
          <xdr:cNvCxnSpPr/>
        </xdr:nvCxnSpPr>
        <xdr:spPr>
          <a:xfrm>
            <a:off x="9799320" y="4366260"/>
            <a:ext cx="0" cy="1722120"/>
          </a:xfrm>
          <a:prstGeom prst="line">
            <a:avLst/>
          </a:prstGeom>
          <a:ln>
            <a:solidFill>
              <a:schemeClr val="bg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9" name="Straight Connector 88">
            <a:extLst>
              <a:ext uri="{FF2B5EF4-FFF2-40B4-BE49-F238E27FC236}">
                <a16:creationId xmlns:a16="http://schemas.microsoft.com/office/drawing/2014/main" id="{13C841BE-6831-4140-B22F-98B7D361005A}"/>
              </a:ext>
            </a:extLst>
          </xdr:cNvPr>
          <xdr:cNvCxnSpPr/>
        </xdr:nvCxnSpPr>
        <xdr:spPr>
          <a:xfrm>
            <a:off x="8961120" y="4366260"/>
            <a:ext cx="0" cy="1722120"/>
          </a:xfrm>
          <a:prstGeom prst="line">
            <a:avLst/>
          </a:prstGeom>
          <a:ln>
            <a:solidFill>
              <a:schemeClr val="bg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74D0855D-B646-43FF-AE88-D7CC402F928C}"/>
              </a:ext>
            </a:extLst>
          </xdr:cNvPr>
          <xdr:cNvCxnSpPr/>
        </xdr:nvCxnSpPr>
        <xdr:spPr>
          <a:xfrm>
            <a:off x="12306300" y="4366260"/>
            <a:ext cx="0" cy="1722120"/>
          </a:xfrm>
          <a:prstGeom prst="line">
            <a:avLst/>
          </a:prstGeom>
          <a:ln>
            <a:solidFill>
              <a:schemeClr val="bg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2" name="Straight Connector 91">
            <a:extLst>
              <a:ext uri="{FF2B5EF4-FFF2-40B4-BE49-F238E27FC236}">
                <a16:creationId xmlns:a16="http://schemas.microsoft.com/office/drawing/2014/main" id="{4D2BAEA5-8A2E-477C-A9B9-ABEADD6778BC}"/>
              </a:ext>
            </a:extLst>
          </xdr:cNvPr>
          <xdr:cNvCxnSpPr/>
        </xdr:nvCxnSpPr>
        <xdr:spPr>
          <a:xfrm flipV="1">
            <a:off x="7665630" y="4632960"/>
            <a:ext cx="5554980" cy="0"/>
          </a:xfrm>
          <a:prstGeom prst="line">
            <a:avLst/>
          </a:prstGeom>
          <a:ln>
            <a:solidFill>
              <a:schemeClr val="bg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CAL!E32">
        <xdr:nvSpPr>
          <xdr:cNvPr id="98" name="TextBox 97">
            <a:extLst>
              <a:ext uri="{FF2B5EF4-FFF2-40B4-BE49-F238E27FC236}">
                <a16:creationId xmlns:a16="http://schemas.microsoft.com/office/drawing/2014/main" id="{E8925756-7838-4D70-BE72-A3D9891A93AC}"/>
              </a:ext>
            </a:extLst>
          </xdr:cNvPr>
          <xdr:cNvSpPr txBox="1"/>
        </xdr:nvSpPr>
        <xdr:spPr>
          <a:xfrm>
            <a:off x="7593330" y="5745480"/>
            <a:ext cx="624840" cy="220980"/>
          </a:xfrm>
          <a:prstGeom prst="roundRect">
            <a:avLst/>
          </a:prstGeom>
          <a:solidFill>
            <a:srgbClr val="FF7722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0ADC8B30-56CD-4F8E-A27F-CBE307DC554F}" type="TxLink">
              <a:rPr lang="en-US" sz="1100" b="0" i="0" u="none" strike="noStrike">
                <a:ln>
                  <a:solidFill>
                    <a:schemeClr val="tx1"/>
                  </a:solidFill>
                </a:ln>
                <a:solidFill>
                  <a:srgbClr val="000000"/>
                </a:solidFill>
                <a:latin typeface="Aptos Narrow"/>
              </a:rPr>
              <a:pPr algn="ctr"/>
              <a:t>Apr-26</a:t>
            </a:fld>
            <a:endParaRPr lang="en-IN" sz="1100">
              <a:ln>
                <a:solidFill>
                  <a:schemeClr val="tx1"/>
                </a:solidFill>
              </a:ln>
              <a:solidFill>
                <a:schemeClr val="tx1"/>
              </a:solidFill>
            </a:endParaRPr>
          </a:p>
        </xdr:txBody>
      </xdr:sp>
      <xdr:sp macro="" textlink="CAL!E31">
        <xdr:nvSpPr>
          <xdr:cNvPr id="99" name="TextBox 98">
            <a:extLst>
              <a:ext uri="{FF2B5EF4-FFF2-40B4-BE49-F238E27FC236}">
                <a16:creationId xmlns:a16="http://schemas.microsoft.com/office/drawing/2014/main" id="{10D2ED2F-37B9-4337-A256-A68238DC5A93}"/>
              </a:ext>
            </a:extLst>
          </xdr:cNvPr>
          <xdr:cNvSpPr txBox="1"/>
        </xdr:nvSpPr>
        <xdr:spPr>
          <a:xfrm>
            <a:off x="7593330" y="5263515"/>
            <a:ext cx="624840" cy="209550"/>
          </a:xfrm>
          <a:prstGeom prst="roundRect">
            <a:avLst/>
          </a:prstGeom>
          <a:solidFill>
            <a:srgbClr val="FF7722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9D27279B-CA84-4DD7-B69A-835A0C8A3CBD}" type="TxLink">
              <a:rPr lang="en-US" sz="1100" b="0" i="0" u="none" strike="noStrike">
                <a:ln>
                  <a:solidFill>
                    <a:schemeClr val="tx1"/>
                  </a:solidFill>
                </a:ln>
                <a:solidFill>
                  <a:srgbClr val="000000"/>
                </a:solidFill>
                <a:latin typeface="Aptos Narrow"/>
              </a:rPr>
              <a:pPr algn="ctr"/>
              <a:t>May-26</a:t>
            </a:fld>
            <a:endParaRPr lang="en-IN" sz="1100">
              <a:ln>
                <a:solidFill>
                  <a:schemeClr val="tx1"/>
                </a:solidFill>
              </a:ln>
              <a:solidFill>
                <a:schemeClr val="tx1"/>
              </a:solidFill>
            </a:endParaRPr>
          </a:p>
        </xdr:txBody>
      </xdr:sp>
      <xdr:sp macro="" textlink="CAL!E30">
        <xdr:nvSpPr>
          <xdr:cNvPr id="100" name="TextBox 99">
            <a:extLst>
              <a:ext uri="{FF2B5EF4-FFF2-40B4-BE49-F238E27FC236}">
                <a16:creationId xmlns:a16="http://schemas.microsoft.com/office/drawing/2014/main" id="{5A47CD8B-3FEB-48B5-AEC5-B72B380EE443}"/>
              </a:ext>
            </a:extLst>
          </xdr:cNvPr>
          <xdr:cNvSpPr txBox="1"/>
        </xdr:nvSpPr>
        <xdr:spPr>
          <a:xfrm>
            <a:off x="7604760" y="4785360"/>
            <a:ext cx="601980" cy="205740"/>
          </a:xfrm>
          <a:prstGeom prst="roundRect">
            <a:avLst/>
          </a:prstGeom>
          <a:solidFill>
            <a:srgbClr val="FF7722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B3799D5C-DAAE-4C40-82E7-EA84AE548EB0}" type="TxLink">
              <a:rPr lang="en-US" sz="1100" b="0" i="0" u="none" strike="noStrike">
                <a:ln>
                  <a:solidFill>
                    <a:schemeClr val="tx1"/>
                  </a:solidFill>
                </a:ln>
                <a:solidFill>
                  <a:srgbClr val="000000"/>
                </a:solidFill>
                <a:latin typeface="Aptos Narrow"/>
              </a:rPr>
              <a:pPr algn="ctr"/>
              <a:t>Jun-26</a:t>
            </a:fld>
            <a:endParaRPr lang="en-IN" sz="1100">
              <a:ln>
                <a:solidFill>
                  <a:schemeClr val="tx1"/>
                </a:solidFill>
              </a:ln>
              <a:solidFill>
                <a:schemeClr val="tx1"/>
              </a:solidFill>
            </a:endParaRPr>
          </a:p>
        </xdr:txBody>
      </xdr:sp>
      <xdr:cxnSp macro="">
        <xdr:nvCxnSpPr>
          <xdr:cNvPr id="102" name="Straight Connector 101">
            <a:extLst>
              <a:ext uri="{FF2B5EF4-FFF2-40B4-BE49-F238E27FC236}">
                <a16:creationId xmlns:a16="http://schemas.microsoft.com/office/drawing/2014/main" id="{9DA330AB-8C00-43D0-892C-4BB3AC664E63}"/>
              </a:ext>
            </a:extLst>
          </xdr:cNvPr>
          <xdr:cNvCxnSpPr/>
        </xdr:nvCxnSpPr>
        <xdr:spPr>
          <a:xfrm>
            <a:off x="7665720" y="5067300"/>
            <a:ext cx="5554800" cy="0"/>
          </a:xfrm>
          <a:prstGeom prst="line">
            <a:avLst/>
          </a:prstGeom>
          <a:ln>
            <a:solidFill>
              <a:schemeClr val="bg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3" name="Straight Connector 102">
            <a:extLst>
              <a:ext uri="{FF2B5EF4-FFF2-40B4-BE49-F238E27FC236}">
                <a16:creationId xmlns:a16="http://schemas.microsoft.com/office/drawing/2014/main" id="{B894AE5B-82F7-4274-A5A7-3252C84F9737}"/>
              </a:ext>
            </a:extLst>
          </xdr:cNvPr>
          <xdr:cNvCxnSpPr/>
        </xdr:nvCxnSpPr>
        <xdr:spPr>
          <a:xfrm flipV="1">
            <a:off x="7665720" y="5593080"/>
            <a:ext cx="5580000" cy="0"/>
          </a:xfrm>
          <a:prstGeom prst="line">
            <a:avLst/>
          </a:prstGeom>
          <a:ln>
            <a:solidFill>
              <a:schemeClr val="bg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CAL!F30">
        <xdr:nvSpPr>
          <xdr:cNvPr id="106" name="TextBox 105">
            <a:extLst>
              <a:ext uri="{FF2B5EF4-FFF2-40B4-BE49-F238E27FC236}">
                <a16:creationId xmlns:a16="http://schemas.microsoft.com/office/drawing/2014/main" id="{5FB6E3F5-F4CC-4CD4-9EE8-E273F9475414}"/>
              </a:ext>
            </a:extLst>
          </xdr:cNvPr>
          <xdr:cNvSpPr txBox="1"/>
        </xdr:nvSpPr>
        <xdr:spPr>
          <a:xfrm>
            <a:off x="8305800" y="4758690"/>
            <a:ext cx="617220" cy="243840"/>
          </a:xfrm>
          <a:prstGeom prst="roundRect">
            <a:avLst/>
          </a:prstGeom>
          <a:noFill/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DF1EB3D5-52B5-4524-AED4-22B53157FD60}" type="TxLink">
              <a:rPr lang="en-US" sz="1800" b="1" i="0" u="none" strike="noStrike">
                <a:ln>
                  <a:solidFill>
                    <a:schemeClr val="bg1"/>
                  </a:solidFill>
                </a:ln>
                <a:gradFill>
                  <a:gsLst>
                    <a:gs pos="50000">
                      <a:srgbClr val="00B0A3"/>
                    </a:gs>
                    <a:gs pos="50000">
                      <a:srgbClr val="FF7722"/>
                    </a:gs>
                  </a:gsLst>
                  <a:lin ang="0" scaled="1"/>
                </a:gradFill>
                <a:latin typeface="Aptos Narrow"/>
              </a:rPr>
              <a:pPr algn="ctr"/>
              <a:t>457</a:t>
            </a:fld>
            <a:endParaRPr lang="en-IN" sz="1800" b="1">
              <a:ln>
                <a:solidFill>
                  <a:schemeClr val="bg1"/>
                </a:solidFill>
              </a:ln>
              <a:gradFill>
                <a:gsLst>
                  <a:gs pos="50000">
                    <a:srgbClr val="00B0A3"/>
                  </a:gs>
                  <a:gs pos="50000">
                    <a:srgbClr val="FF7722"/>
                  </a:gs>
                </a:gsLst>
                <a:lin ang="0" scaled="1"/>
              </a:gradFill>
            </a:endParaRPr>
          </a:p>
        </xdr:txBody>
      </xdr:sp>
      <xdr:sp macro="" textlink="CAL!F32">
        <xdr:nvSpPr>
          <xdr:cNvPr id="107" name="TextBox 106">
            <a:extLst>
              <a:ext uri="{FF2B5EF4-FFF2-40B4-BE49-F238E27FC236}">
                <a16:creationId xmlns:a16="http://schemas.microsoft.com/office/drawing/2014/main" id="{F1634CA7-53EE-4942-9804-EFFC68396512}"/>
              </a:ext>
            </a:extLst>
          </xdr:cNvPr>
          <xdr:cNvSpPr txBox="1"/>
        </xdr:nvSpPr>
        <xdr:spPr>
          <a:xfrm>
            <a:off x="8313420" y="5715000"/>
            <a:ext cx="617220" cy="243840"/>
          </a:xfrm>
          <a:prstGeom prst="roundRect">
            <a:avLst/>
          </a:prstGeom>
          <a:noFill/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2208F120-F5DE-463C-A633-9C57EFCE0192}" type="TxLink">
              <a:rPr lang="en-US" sz="1800" b="1" i="0" u="none" strike="noStrike">
                <a:ln>
                  <a:solidFill>
                    <a:schemeClr val="bg1"/>
                  </a:solidFill>
                </a:ln>
                <a:gradFill>
                  <a:gsLst>
                    <a:gs pos="50000">
                      <a:srgbClr val="00B0A3"/>
                    </a:gs>
                    <a:gs pos="50000">
                      <a:srgbClr val="FF7722"/>
                    </a:gs>
                  </a:gsLst>
                  <a:lin ang="0" scaled="1"/>
                </a:gradFill>
                <a:latin typeface="Aptos Narrow"/>
              </a:rPr>
              <a:pPr algn="ctr"/>
              <a:t>386</a:t>
            </a:fld>
            <a:endParaRPr lang="en-IN" sz="1800" b="1">
              <a:ln>
                <a:solidFill>
                  <a:schemeClr val="bg1"/>
                </a:solidFill>
              </a:ln>
              <a:gradFill>
                <a:gsLst>
                  <a:gs pos="50000">
                    <a:srgbClr val="00B0A3"/>
                  </a:gs>
                  <a:gs pos="50000">
                    <a:srgbClr val="FF7722"/>
                  </a:gs>
                </a:gsLst>
                <a:lin ang="0" scaled="1"/>
              </a:gradFill>
            </a:endParaRPr>
          </a:p>
        </xdr:txBody>
      </xdr:sp>
      <xdr:sp macro="" textlink="CAL!F31">
        <xdr:nvSpPr>
          <xdr:cNvPr id="108" name="TextBox 107">
            <a:extLst>
              <a:ext uri="{FF2B5EF4-FFF2-40B4-BE49-F238E27FC236}">
                <a16:creationId xmlns:a16="http://schemas.microsoft.com/office/drawing/2014/main" id="{65B0B6FA-05EC-49D7-A8B5-23C7C033997F}"/>
              </a:ext>
            </a:extLst>
          </xdr:cNvPr>
          <xdr:cNvSpPr txBox="1"/>
        </xdr:nvSpPr>
        <xdr:spPr>
          <a:xfrm>
            <a:off x="8305800" y="5212080"/>
            <a:ext cx="617220" cy="243840"/>
          </a:xfrm>
          <a:prstGeom prst="roundRect">
            <a:avLst/>
          </a:prstGeom>
          <a:noFill/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0A97FB01-4C52-4787-8DEB-52944409A50F}" type="TxLink">
              <a:rPr lang="en-US" sz="1800" b="1" i="0" u="none" strike="noStrike">
                <a:ln>
                  <a:solidFill>
                    <a:schemeClr val="bg1"/>
                  </a:solidFill>
                </a:ln>
                <a:gradFill>
                  <a:gsLst>
                    <a:gs pos="50000">
                      <a:srgbClr val="00B0A3"/>
                    </a:gs>
                    <a:gs pos="50000">
                      <a:srgbClr val="FF7722"/>
                    </a:gs>
                  </a:gsLst>
                  <a:lin ang="0" scaled="1"/>
                </a:gradFill>
                <a:latin typeface="Aptos Narrow"/>
              </a:rPr>
              <a:pPr algn="ctr"/>
              <a:t>424</a:t>
            </a:fld>
            <a:endParaRPr lang="en-IN" sz="1800" b="1">
              <a:ln>
                <a:solidFill>
                  <a:schemeClr val="bg1"/>
                </a:solidFill>
              </a:ln>
              <a:gradFill>
                <a:gsLst>
                  <a:gs pos="50000">
                    <a:srgbClr val="00B0A3"/>
                  </a:gs>
                  <a:gs pos="50000">
                    <a:srgbClr val="FF7722"/>
                  </a:gs>
                </a:gsLst>
                <a:lin ang="0" scaled="1"/>
              </a:gradFill>
            </a:endParaRPr>
          </a:p>
        </xdr:txBody>
      </xdr:sp>
      <xdr:sp macro="" textlink="CAL!G30">
        <xdr:nvSpPr>
          <xdr:cNvPr id="109" name="TextBox 108">
            <a:extLst>
              <a:ext uri="{FF2B5EF4-FFF2-40B4-BE49-F238E27FC236}">
                <a16:creationId xmlns:a16="http://schemas.microsoft.com/office/drawing/2014/main" id="{155DD165-7752-45C3-91A7-1A8E74303A4E}"/>
              </a:ext>
            </a:extLst>
          </xdr:cNvPr>
          <xdr:cNvSpPr txBox="1"/>
        </xdr:nvSpPr>
        <xdr:spPr>
          <a:xfrm>
            <a:off x="9022080" y="4749405"/>
            <a:ext cx="741680" cy="212400"/>
          </a:xfrm>
          <a:prstGeom prst="roundRect">
            <a:avLst/>
          </a:prstGeom>
          <a:solidFill>
            <a:srgbClr val="FF7722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E4EE3D1E-619D-4747-8448-7FC7A82D0B43}" type="TxLink">
              <a:rPr lang="en-US" sz="1800" b="1" i="0" u="none" strike="noStrike">
                <a:ln>
                  <a:solidFill>
                    <a:schemeClr val="bg1"/>
                  </a:solidFill>
                </a:ln>
                <a:gradFill>
                  <a:gsLst>
                    <a:gs pos="50000">
                      <a:srgbClr val="00B0A3"/>
                    </a:gs>
                    <a:gs pos="50000">
                      <a:srgbClr val="FF7722"/>
                    </a:gs>
                  </a:gsLst>
                  <a:lin ang="0" scaled="1"/>
                </a:gradFill>
                <a:latin typeface="Aptos Narrow"/>
              </a:rPr>
              <a:pPr algn="ctr"/>
              <a:t>10</a:t>
            </a:fld>
            <a:endParaRPr lang="en-IN" sz="1800" b="1">
              <a:ln>
                <a:solidFill>
                  <a:schemeClr val="bg1"/>
                </a:solidFill>
              </a:ln>
              <a:gradFill>
                <a:gsLst>
                  <a:gs pos="50000">
                    <a:srgbClr val="00B0A3"/>
                  </a:gs>
                  <a:gs pos="50000">
                    <a:srgbClr val="FF7722"/>
                  </a:gs>
                </a:gsLst>
                <a:lin ang="0" scaled="1"/>
              </a:gradFill>
            </a:endParaRPr>
          </a:p>
        </xdr:txBody>
      </xdr:sp>
      <xdr:sp macro="" textlink="CAL!G32">
        <xdr:nvSpPr>
          <xdr:cNvPr id="110" name="TextBox 109">
            <a:extLst>
              <a:ext uri="{FF2B5EF4-FFF2-40B4-BE49-F238E27FC236}">
                <a16:creationId xmlns:a16="http://schemas.microsoft.com/office/drawing/2014/main" id="{FD132E2C-204F-491E-8072-978C9004B500}"/>
              </a:ext>
            </a:extLst>
          </xdr:cNvPr>
          <xdr:cNvSpPr txBox="1"/>
        </xdr:nvSpPr>
        <xdr:spPr>
          <a:xfrm>
            <a:off x="9022080" y="5737860"/>
            <a:ext cx="741680" cy="212400"/>
          </a:xfrm>
          <a:prstGeom prst="roundRect">
            <a:avLst/>
          </a:prstGeom>
          <a:solidFill>
            <a:srgbClr val="FF7722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D5456B7C-781E-494E-B4D8-77BDCFEE7FA7}" type="TxLink">
              <a:rPr lang="en-US" sz="1800" b="1" i="0" u="none" strike="noStrike">
                <a:ln>
                  <a:solidFill>
                    <a:schemeClr val="bg1"/>
                  </a:solidFill>
                </a:ln>
                <a:gradFill>
                  <a:gsLst>
                    <a:gs pos="50000">
                      <a:srgbClr val="00B0A3"/>
                    </a:gs>
                    <a:gs pos="50000">
                      <a:srgbClr val="FF7722"/>
                    </a:gs>
                  </a:gsLst>
                  <a:lin ang="0" scaled="1"/>
                </a:gradFill>
                <a:latin typeface="Aptos Narrow"/>
              </a:rPr>
              <a:pPr algn="ctr"/>
              <a:t>10</a:t>
            </a:fld>
            <a:endParaRPr lang="en-IN" sz="1800" b="1">
              <a:ln>
                <a:solidFill>
                  <a:schemeClr val="bg1"/>
                </a:solidFill>
              </a:ln>
              <a:gradFill>
                <a:gsLst>
                  <a:gs pos="50000">
                    <a:srgbClr val="00B0A3"/>
                  </a:gs>
                  <a:gs pos="50000">
                    <a:srgbClr val="FF7722"/>
                  </a:gs>
                </a:gsLst>
                <a:lin ang="0" scaled="1"/>
              </a:gradFill>
            </a:endParaRPr>
          </a:p>
        </xdr:txBody>
      </xdr:sp>
      <xdr:sp macro="" textlink="CAL!G31">
        <xdr:nvSpPr>
          <xdr:cNvPr id="111" name="TextBox 110">
            <a:extLst>
              <a:ext uri="{FF2B5EF4-FFF2-40B4-BE49-F238E27FC236}">
                <a16:creationId xmlns:a16="http://schemas.microsoft.com/office/drawing/2014/main" id="{00AB7C44-3E14-4E68-8C30-CFB4B2EAC98D}"/>
              </a:ext>
            </a:extLst>
          </xdr:cNvPr>
          <xdr:cNvSpPr txBox="1"/>
        </xdr:nvSpPr>
        <xdr:spPr>
          <a:xfrm>
            <a:off x="9022080" y="5243040"/>
            <a:ext cx="741680" cy="212400"/>
          </a:xfrm>
          <a:prstGeom prst="roundRect">
            <a:avLst/>
          </a:prstGeom>
          <a:solidFill>
            <a:srgbClr val="FF7722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2D3D17AC-D868-4153-B27E-408C046BE36A}" type="TxLink">
              <a:rPr lang="en-US" sz="1800" b="1" i="0" u="none" strike="noStrike">
                <a:ln>
                  <a:solidFill>
                    <a:schemeClr val="bg1"/>
                  </a:solidFill>
                </a:ln>
                <a:gradFill>
                  <a:gsLst>
                    <a:gs pos="50000">
                      <a:srgbClr val="00B0A3"/>
                    </a:gs>
                    <a:gs pos="50000">
                      <a:srgbClr val="FF7722"/>
                    </a:gs>
                  </a:gsLst>
                  <a:lin ang="0" scaled="1"/>
                </a:gradFill>
                <a:latin typeface="Aptos Narrow"/>
              </a:rPr>
              <a:pPr algn="ctr"/>
              <a:t>10</a:t>
            </a:fld>
            <a:endParaRPr lang="en-IN" sz="1800" b="1">
              <a:ln>
                <a:solidFill>
                  <a:schemeClr val="bg1"/>
                </a:solidFill>
              </a:ln>
              <a:gradFill>
                <a:gsLst>
                  <a:gs pos="50000">
                    <a:srgbClr val="00B0A3"/>
                  </a:gs>
                  <a:gs pos="50000">
                    <a:srgbClr val="FF7722"/>
                  </a:gs>
                </a:gsLst>
                <a:lin ang="0" scaled="1"/>
              </a:gradFill>
            </a:endParaRPr>
          </a:p>
        </xdr:txBody>
      </xdr:sp>
      <xdr:sp macro="" textlink="CAL!J30">
        <xdr:nvSpPr>
          <xdr:cNvPr id="112" name="TextBox 111">
            <a:extLst>
              <a:ext uri="{FF2B5EF4-FFF2-40B4-BE49-F238E27FC236}">
                <a16:creationId xmlns:a16="http://schemas.microsoft.com/office/drawing/2014/main" id="{ACDE48BE-A26F-4966-A413-957775150968}"/>
              </a:ext>
            </a:extLst>
          </xdr:cNvPr>
          <xdr:cNvSpPr txBox="1"/>
        </xdr:nvSpPr>
        <xdr:spPr>
          <a:xfrm>
            <a:off x="9913620" y="4726065"/>
            <a:ext cx="571500" cy="259080"/>
          </a:xfrm>
          <a:prstGeom prst="roundRect">
            <a:avLst/>
          </a:prstGeom>
          <a:solidFill>
            <a:srgbClr val="FF7722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C799EDE0-67F6-4C4A-93C5-C26114E194F8}" type="TxLink">
              <a:rPr lang="en-US" sz="1800" b="1" i="0" u="none" strike="noStrike">
                <a:ln>
                  <a:solidFill>
                    <a:schemeClr val="bg1"/>
                  </a:solidFill>
                </a:ln>
                <a:gradFill>
                  <a:gsLst>
                    <a:gs pos="50000">
                      <a:srgbClr val="00B0A3"/>
                    </a:gs>
                    <a:gs pos="50000">
                      <a:srgbClr val="FF7722"/>
                    </a:gs>
                  </a:gsLst>
                  <a:lin ang="0" scaled="1"/>
                </a:gradFill>
                <a:latin typeface="Aptos Narrow"/>
              </a:rPr>
              <a:pPr algn="ctr"/>
              <a:t>659</a:t>
            </a:fld>
            <a:endParaRPr lang="en-IN" sz="1800" b="1">
              <a:ln>
                <a:solidFill>
                  <a:schemeClr val="bg1"/>
                </a:solidFill>
              </a:ln>
              <a:gradFill>
                <a:gsLst>
                  <a:gs pos="50000">
                    <a:srgbClr val="00B0A3"/>
                  </a:gs>
                  <a:gs pos="50000">
                    <a:srgbClr val="FF7722"/>
                  </a:gs>
                </a:gsLst>
                <a:lin ang="0" scaled="1"/>
              </a:gradFill>
            </a:endParaRPr>
          </a:p>
        </xdr:txBody>
      </xdr:sp>
      <xdr:sp macro="" textlink="CAL!J32">
        <xdr:nvSpPr>
          <xdr:cNvPr id="113" name="TextBox 112">
            <a:extLst>
              <a:ext uri="{FF2B5EF4-FFF2-40B4-BE49-F238E27FC236}">
                <a16:creationId xmlns:a16="http://schemas.microsoft.com/office/drawing/2014/main" id="{FC86212C-BF84-4A0B-9AAE-8946E7482F7E}"/>
              </a:ext>
            </a:extLst>
          </xdr:cNvPr>
          <xdr:cNvSpPr txBox="1"/>
        </xdr:nvSpPr>
        <xdr:spPr>
          <a:xfrm>
            <a:off x="9913620" y="5707380"/>
            <a:ext cx="571500" cy="259080"/>
          </a:xfrm>
          <a:prstGeom prst="roundRect">
            <a:avLst/>
          </a:prstGeom>
          <a:solidFill>
            <a:srgbClr val="FF7722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05C98FF1-6A30-413A-8E11-B927825CA9A3}" type="TxLink">
              <a:rPr lang="en-US" sz="1800" b="1" i="0" u="none" strike="noStrike">
                <a:ln>
                  <a:solidFill>
                    <a:schemeClr val="bg1"/>
                  </a:solidFill>
                </a:ln>
                <a:gradFill>
                  <a:gsLst>
                    <a:gs pos="50000">
                      <a:srgbClr val="00B0A3"/>
                    </a:gs>
                    <a:gs pos="50000">
                      <a:srgbClr val="FF7722"/>
                    </a:gs>
                  </a:gsLst>
                  <a:lin ang="0" scaled="1"/>
                </a:gradFill>
                <a:latin typeface="Aptos Narrow"/>
              </a:rPr>
              <a:pPr algn="ctr"/>
              <a:t>450</a:t>
            </a:fld>
            <a:endParaRPr lang="en-IN" sz="1800" b="1">
              <a:ln>
                <a:solidFill>
                  <a:schemeClr val="bg1"/>
                </a:solidFill>
              </a:ln>
              <a:gradFill>
                <a:gsLst>
                  <a:gs pos="50000">
                    <a:srgbClr val="00B0A3"/>
                  </a:gs>
                  <a:gs pos="50000">
                    <a:srgbClr val="FF7722"/>
                  </a:gs>
                </a:gsLst>
                <a:lin ang="0" scaled="1"/>
              </a:gradFill>
            </a:endParaRPr>
          </a:p>
        </xdr:txBody>
      </xdr:sp>
      <xdr:sp macro="" textlink="CAL!J31">
        <xdr:nvSpPr>
          <xdr:cNvPr id="114" name="TextBox 113">
            <a:extLst>
              <a:ext uri="{FF2B5EF4-FFF2-40B4-BE49-F238E27FC236}">
                <a16:creationId xmlns:a16="http://schemas.microsoft.com/office/drawing/2014/main" id="{CB008ABF-29DF-475C-B54A-6108572582E2}"/>
              </a:ext>
            </a:extLst>
          </xdr:cNvPr>
          <xdr:cNvSpPr txBox="1"/>
        </xdr:nvSpPr>
        <xdr:spPr>
          <a:xfrm>
            <a:off x="9913620" y="5215890"/>
            <a:ext cx="571500" cy="259080"/>
          </a:xfrm>
          <a:prstGeom prst="roundRect">
            <a:avLst/>
          </a:prstGeom>
          <a:solidFill>
            <a:srgbClr val="FF7722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F377C1F0-C87F-4C15-9873-2657E9120B4F}" type="TxLink">
              <a:rPr lang="en-US" sz="1800" b="1" i="0" u="none" strike="noStrike">
                <a:ln>
                  <a:solidFill>
                    <a:schemeClr val="bg1"/>
                  </a:solidFill>
                </a:ln>
                <a:gradFill>
                  <a:gsLst>
                    <a:gs pos="50000">
                      <a:srgbClr val="00B0A3"/>
                    </a:gs>
                    <a:gs pos="50000">
                      <a:srgbClr val="FF7722"/>
                    </a:gs>
                  </a:gsLst>
                  <a:lin ang="0" scaled="1"/>
                </a:gradFill>
                <a:latin typeface="Aptos Narrow"/>
              </a:rPr>
              <a:pPr algn="ctr"/>
              <a:t>506</a:t>
            </a:fld>
            <a:endParaRPr lang="en-IN" sz="1800" b="1">
              <a:ln>
                <a:solidFill>
                  <a:schemeClr val="bg1"/>
                </a:solidFill>
              </a:ln>
              <a:gradFill>
                <a:gsLst>
                  <a:gs pos="50000">
                    <a:srgbClr val="00B0A3"/>
                  </a:gs>
                  <a:gs pos="50000">
                    <a:srgbClr val="FF7722"/>
                  </a:gs>
                </a:gsLst>
                <a:lin ang="0" scaled="1"/>
              </a:gradFill>
            </a:endParaRPr>
          </a:p>
        </xdr:txBody>
      </xdr:sp>
      <xdr:sp macro="" textlink="CAL!H30">
        <xdr:nvSpPr>
          <xdr:cNvPr id="115" name="TextBox 114">
            <a:extLst>
              <a:ext uri="{FF2B5EF4-FFF2-40B4-BE49-F238E27FC236}">
                <a16:creationId xmlns:a16="http://schemas.microsoft.com/office/drawing/2014/main" id="{C1EEE48A-E49E-45B3-83D0-32652B6572D8}"/>
              </a:ext>
            </a:extLst>
          </xdr:cNvPr>
          <xdr:cNvSpPr txBox="1"/>
        </xdr:nvSpPr>
        <xdr:spPr>
          <a:xfrm>
            <a:off x="10694670" y="4732020"/>
            <a:ext cx="670560" cy="243840"/>
          </a:xfrm>
          <a:prstGeom prst="roundRect">
            <a:avLst/>
          </a:prstGeom>
          <a:solidFill>
            <a:srgbClr val="FF7722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63D1A0E8-D190-4296-A7DB-C8B9DF63F9BF}" type="TxLink">
              <a:rPr lang="en-US" sz="1800" b="1" i="0" u="none" strike="noStrike">
                <a:ln>
                  <a:solidFill>
                    <a:schemeClr val="bg1"/>
                  </a:solidFill>
                </a:ln>
                <a:gradFill>
                  <a:gsLst>
                    <a:gs pos="50000">
                      <a:srgbClr val="00B0A3"/>
                    </a:gs>
                    <a:gs pos="50000">
                      <a:srgbClr val="FF7722"/>
                    </a:gs>
                  </a:gsLst>
                  <a:lin ang="0" scaled="1"/>
                </a:gradFill>
                <a:latin typeface="Aptos Narrow"/>
              </a:rPr>
              <a:pPr algn="ctr"/>
              <a:t>1519</a:t>
            </a:fld>
            <a:endParaRPr lang="en-IN" sz="1800" b="1">
              <a:ln>
                <a:solidFill>
                  <a:schemeClr val="bg1"/>
                </a:solidFill>
              </a:ln>
              <a:gradFill>
                <a:gsLst>
                  <a:gs pos="50000">
                    <a:srgbClr val="00B0A3"/>
                  </a:gs>
                  <a:gs pos="50000">
                    <a:srgbClr val="FF7722"/>
                  </a:gs>
                </a:gsLst>
                <a:lin ang="0" scaled="1"/>
              </a:gradFill>
            </a:endParaRPr>
          </a:p>
        </xdr:txBody>
      </xdr:sp>
      <xdr:sp macro="" textlink="CAL!H32">
        <xdr:nvSpPr>
          <xdr:cNvPr id="116" name="TextBox 115">
            <a:extLst>
              <a:ext uri="{FF2B5EF4-FFF2-40B4-BE49-F238E27FC236}">
                <a16:creationId xmlns:a16="http://schemas.microsoft.com/office/drawing/2014/main" id="{7A5396B8-614D-42D3-848D-EA17CB799AF7}"/>
              </a:ext>
            </a:extLst>
          </xdr:cNvPr>
          <xdr:cNvSpPr txBox="1"/>
        </xdr:nvSpPr>
        <xdr:spPr>
          <a:xfrm>
            <a:off x="10694670" y="5734050"/>
            <a:ext cx="670560" cy="243840"/>
          </a:xfrm>
          <a:prstGeom prst="roundRect">
            <a:avLst/>
          </a:prstGeom>
          <a:solidFill>
            <a:srgbClr val="FF7722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142CC10D-BA50-496E-B81E-5B902C416783}" type="TxLink">
              <a:rPr lang="en-US" sz="1800" b="1" i="0" u="none" strike="noStrike">
                <a:ln>
                  <a:solidFill>
                    <a:schemeClr val="bg1"/>
                  </a:solidFill>
                </a:ln>
                <a:gradFill>
                  <a:gsLst>
                    <a:gs pos="50000">
                      <a:srgbClr val="00B0A3"/>
                    </a:gs>
                    <a:gs pos="50000">
                      <a:srgbClr val="FF7722"/>
                    </a:gs>
                  </a:gsLst>
                  <a:lin ang="0" scaled="1"/>
                </a:gradFill>
                <a:latin typeface="Aptos Narrow"/>
              </a:rPr>
              <a:pPr algn="ctr"/>
              <a:t>1055</a:t>
            </a:fld>
            <a:endParaRPr lang="en-IN" sz="1800" b="1">
              <a:ln>
                <a:solidFill>
                  <a:schemeClr val="bg1"/>
                </a:solidFill>
              </a:ln>
              <a:gradFill>
                <a:gsLst>
                  <a:gs pos="50000">
                    <a:srgbClr val="00B0A3"/>
                  </a:gs>
                  <a:gs pos="50000">
                    <a:srgbClr val="FF7722"/>
                  </a:gs>
                </a:gsLst>
                <a:lin ang="0" scaled="1"/>
              </a:gradFill>
            </a:endParaRPr>
          </a:p>
        </xdr:txBody>
      </xdr:sp>
      <xdr:sp macro="" textlink="CAL!H31">
        <xdr:nvSpPr>
          <xdr:cNvPr id="117" name="TextBox 116">
            <a:extLst>
              <a:ext uri="{FF2B5EF4-FFF2-40B4-BE49-F238E27FC236}">
                <a16:creationId xmlns:a16="http://schemas.microsoft.com/office/drawing/2014/main" id="{73045D9D-EF5A-4D23-B130-12A5AF753748}"/>
              </a:ext>
            </a:extLst>
          </xdr:cNvPr>
          <xdr:cNvSpPr txBox="1"/>
        </xdr:nvSpPr>
        <xdr:spPr>
          <a:xfrm>
            <a:off x="10694670" y="5221605"/>
            <a:ext cx="670560" cy="243840"/>
          </a:xfrm>
          <a:prstGeom prst="roundRect">
            <a:avLst/>
          </a:prstGeom>
          <a:solidFill>
            <a:srgbClr val="FF7722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F6B46629-1932-4CCE-9618-6D686C39EE94}" type="TxLink">
              <a:rPr lang="en-US" sz="1800" b="1" i="0" u="none" strike="noStrike">
                <a:ln>
                  <a:solidFill>
                    <a:schemeClr val="bg1"/>
                  </a:solidFill>
                </a:ln>
                <a:gradFill>
                  <a:gsLst>
                    <a:gs pos="50000">
                      <a:srgbClr val="00B0A3"/>
                    </a:gs>
                    <a:gs pos="50000">
                      <a:srgbClr val="FF7722"/>
                    </a:gs>
                  </a:gsLst>
                  <a:lin ang="0" scaled="1"/>
                </a:gradFill>
                <a:latin typeface="Aptos Narrow"/>
              </a:rPr>
              <a:pPr algn="ctr"/>
              <a:t>1197</a:t>
            </a:fld>
            <a:endParaRPr lang="en-IN" sz="1800" b="1">
              <a:ln>
                <a:solidFill>
                  <a:schemeClr val="bg1"/>
                </a:solidFill>
              </a:ln>
              <a:gradFill>
                <a:gsLst>
                  <a:gs pos="50000">
                    <a:srgbClr val="00B0A3"/>
                  </a:gs>
                  <a:gs pos="50000">
                    <a:srgbClr val="FF7722"/>
                  </a:gs>
                </a:gsLst>
                <a:lin ang="0" scaled="1"/>
              </a:gradFill>
            </a:endParaRPr>
          </a:p>
        </xdr:txBody>
      </xdr:sp>
      <xdr:sp macro="" textlink="CAL!I30">
        <xdr:nvSpPr>
          <xdr:cNvPr id="119" name="TextBox 118">
            <a:extLst>
              <a:ext uri="{FF2B5EF4-FFF2-40B4-BE49-F238E27FC236}">
                <a16:creationId xmlns:a16="http://schemas.microsoft.com/office/drawing/2014/main" id="{8F062F61-25C0-4F93-A183-F78F5CA4C8FA}"/>
              </a:ext>
            </a:extLst>
          </xdr:cNvPr>
          <xdr:cNvSpPr txBox="1"/>
        </xdr:nvSpPr>
        <xdr:spPr>
          <a:xfrm>
            <a:off x="11506200" y="4747260"/>
            <a:ext cx="770890" cy="212400"/>
          </a:xfrm>
          <a:prstGeom prst="roundRect">
            <a:avLst/>
          </a:prstGeom>
          <a:solidFill>
            <a:srgbClr val="FF7722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A5C5A2F5-165D-4684-9162-0A26C330F893}" type="TxLink">
              <a:rPr lang="en-US" sz="1800" b="1" i="0" u="none" strike="noStrike">
                <a:ln>
                  <a:solidFill>
                    <a:schemeClr val="bg1"/>
                  </a:solidFill>
                </a:ln>
                <a:gradFill>
                  <a:gsLst>
                    <a:gs pos="50000">
                      <a:srgbClr val="00B0A3"/>
                    </a:gs>
                    <a:gs pos="50000">
                      <a:srgbClr val="FF7722"/>
                    </a:gs>
                  </a:gsLst>
                  <a:lin ang="0" scaled="1"/>
                </a:gradFill>
                <a:latin typeface="Aptos Narrow"/>
              </a:rPr>
              <a:pPr algn="ctr"/>
              <a:t>5.43L</a:t>
            </a:fld>
            <a:endParaRPr lang="en-US" sz="1800" b="1">
              <a:ln>
                <a:solidFill>
                  <a:schemeClr val="bg1"/>
                </a:solidFill>
              </a:ln>
              <a:gradFill>
                <a:gsLst>
                  <a:gs pos="50000">
                    <a:srgbClr val="00B0A3"/>
                  </a:gs>
                  <a:gs pos="50000">
                    <a:srgbClr val="FF7722"/>
                  </a:gs>
                </a:gsLst>
                <a:lin ang="0" scaled="1"/>
              </a:gradFill>
            </a:endParaRPr>
          </a:p>
        </xdr:txBody>
      </xdr:sp>
      <xdr:sp macro="" textlink="CAL!I32">
        <xdr:nvSpPr>
          <xdr:cNvPr id="16" name="TextBox 15">
            <a:extLst>
              <a:ext uri="{FF2B5EF4-FFF2-40B4-BE49-F238E27FC236}">
                <a16:creationId xmlns:a16="http://schemas.microsoft.com/office/drawing/2014/main" id="{C79F9333-9A3A-4580-B3E5-9F5F5B7962B2}"/>
              </a:ext>
            </a:extLst>
          </xdr:cNvPr>
          <xdr:cNvSpPr txBox="1"/>
        </xdr:nvSpPr>
        <xdr:spPr>
          <a:xfrm>
            <a:off x="11506200" y="5749770"/>
            <a:ext cx="770890" cy="212400"/>
          </a:xfrm>
          <a:prstGeom prst="roundRect">
            <a:avLst/>
          </a:prstGeom>
          <a:solidFill>
            <a:srgbClr val="FF7722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E7D5C758-9B90-408C-ACC5-62342C0C7A23}" type="TxLink">
              <a:rPr lang="en-US" sz="1800" b="1" i="0" u="none" strike="noStrike">
                <a:ln>
                  <a:solidFill>
                    <a:schemeClr val="bg1"/>
                  </a:solidFill>
                </a:ln>
                <a:gradFill flip="none" rotWithShape="1">
                  <a:gsLst>
                    <a:gs pos="50000">
                      <a:srgbClr val="FF7722"/>
                    </a:gs>
                    <a:gs pos="50000">
                      <a:srgbClr val="00B0A3"/>
                    </a:gs>
                  </a:gsLst>
                  <a:lin ang="10800000" scaled="1"/>
                  <a:tileRect/>
                </a:gradFill>
                <a:latin typeface="Aptos Narrow"/>
              </a:rPr>
              <a:pPr algn="ctr"/>
              <a:t>3.82L</a:t>
            </a:fld>
            <a:endParaRPr lang="en-US" sz="1800" b="1">
              <a:ln>
                <a:solidFill>
                  <a:schemeClr val="bg1"/>
                </a:solidFill>
              </a:ln>
              <a:gradFill flip="none" rotWithShape="1">
                <a:gsLst>
                  <a:gs pos="50000">
                    <a:srgbClr val="FF7722"/>
                  </a:gs>
                  <a:gs pos="50000">
                    <a:srgbClr val="00B0A3"/>
                  </a:gs>
                </a:gsLst>
                <a:lin ang="10800000" scaled="1"/>
                <a:tileRect/>
              </a:gradFill>
            </a:endParaRPr>
          </a:p>
        </xdr:txBody>
      </xdr:sp>
      <xdr:sp macro="" textlink="CAL!I31">
        <xdr:nvSpPr>
          <xdr:cNvPr id="20" name="TextBox 19">
            <a:extLst>
              <a:ext uri="{FF2B5EF4-FFF2-40B4-BE49-F238E27FC236}">
                <a16:creationId xmlns:a16="http://schemas.microsoft.com/office/drawing/2014/main" id="{B4B1AEBC-4A62-4C4E-AFDE-78317BC038AB}"/>
              </a:ext>
            </a:extLst>
          </xdr:cNvPr>
          <xdr:cNvSpPr txBox="1"/>
        </xdr:nvSpPr>
        <xdr:spPr>
          <a:xfrm>
            <a:off x="11506200" y="5237325"/>
            <a:ext cx="770890" cy="212400"/>
          </a:xfrm>
          <a:prstGeom prst="roundRect">
            <a:avLst/>
          </a:prstGeom>
          <a:solidFill>
            <a:srgbClr val="FF7722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CB71F95C-7851-41B5-8BFB-0F1EAD123EBA}" type="TxLink">
              <a:rPr lang="en-US" sz="1800" b="1" i="0" u="none" strike="noStrike">
                <a:ln>
                  <a:solidFill>
                    <a:schemeClr val="bg1"/>
                  </a:solidFill>
                </a:ln>
                <a:gradFill flip="none" rotWithShape="1">
                  <a:gsLst>
                    <a:gs pos="50000">
                      <a:srgbClr val="FF7722"/>
                    </a:gs>
                    <a:gs pos="50000">
                      <a:srgbClr val="00B0A3"/>
                    </a:gs>
                  </a:gsLst>
                  <a:lin ang="10800000" scaled="1"/>
                  <a:tileRect/>
                </a:gradFill>
                <a:latin typeface="Aptos Narrow"/>
              </a:rPr>
              <a:pPr algn="ctr"/>
              <a:t>4.36L</a:t>
            </a:fld>
            <a:endParaRPr lang="en-US" sz="1800" b="1">
              <a:ln>
                <a:solidFill>
                  <a:schemeClr val="bg1"/>
                </a:solidFill>
              </a:ln>
              <a:gradFill flip="none" rotWithShape="1">
                <a:gsLst>
                  <a:gs pos="50000">
                    <a:srgbClr val="FF7722"/>
                  </a:gs>
                  <a:gs pos="50000">
                    <a:srgbClr val="00B0A3"/>
                  </a:gs>
                </a:gsLst>
                <a:lin ang="10800000" scaled="1"/>
                <a:tileRect/>
              </a:gradFill>
            </a:endParaRPr>
          </a:p>
        </xdr:txBody>
      </xdr:sp>
      <xdr:sp macro="" textlink="CAL!K30">
        <xdr:nvSpPr>
          <xdr:cNvPr id="22" name="TextBox 21">
            <a:extLst>
              <a:ext uri="{FF2B5EF4-FFF2-40B4-BE49-F238E27FC236}">
                <a16:creationId xmlns:a16="http://schemas.microsoft.com/office/drawing/2014/main" id="{BD1506AA-FA6A-4857-8540-BF5232B129BB}"/>
              </a:ext>
            </a:extLst>
          </xdr:cNvPr>
          <xdr:cNvSpPr txBox="1"/>
        </xdr:nvSpPr>
        <xdr:spPr>
          <a:xfrm>
            <a:off x="12344400" y="4732020"/>
            <a:ext cx="838200" cy="228600"/>
          </a:xfrm>
          <a:prstGeom prst="roundRect">
            <a:avLst/>
          </a:prstGeom>
          <a:solidFill>
            <a:srgbClr val="FF7722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E0943A85-9885-40E5-B6B0-772F332DA66E}" type="TxLink">
              <a:rPr lang="en-US" sz="1800" b="1" i="0" u="none" strike="noStrike">
                <a:ln>
                  <a:solidFill>
                    <a:schemeClr val="bg1"/>
                  </a:solidFill>
                </a:ln>
                <a:gradFill>
                  <a:gsLst>
                    <a:gs pos="50000">
                      <a:srgbClr val="FF7722"/>
                    </a:gs>
                    <a:gs pos="50000">
                      <a:srgbClr val="00B0A3"/>
                    </a:gs>
                  </a:gsLst>
                  <a:lin ang="10800000" scaled="1"/>
                </a:gradFill>
                <a:latin typeface="Aptos Narrow"/>
              </a:rPr>
              <a:pPr algn="ctr"/>
              <a:t>2179 h</a:t>
            </a:fld>
            <a:endParaRPr lang="en-IN" sz="1800" b="1">
              <a:ln>
                <a:solidFill>
                  <a:schemeClr val="bg1"/>
                </a:solidFill>
              </a:ln>
              <a:gradFill>
                <a:gsLst>
                  <a:gs pos="50000">
                    <a:srgbClr val="FF7722"/>
                  </a:gs>
                  <a:gs pos="50000">
                    <a:srgbClr val="00B0A3"/>
                  </a:gs>
                </a:gsLst>
                <a:lin ang="10800000" scaled="1"/>
              </a:gradFill>
            </a:endParaRPr>
          </a:p>
        </xdr:txBody>
      </xdr:sp>
      <xdr:sp macro="" textlink="CAL!K32">
        <xdr:nvSpPr>
          <xdr:cNvPr id="23" name="TextBox 22">
            <a:extLst>
              <a:ext uri="{FF2B5EF4-FFF2-40B4-BE49-F238E27FC236}">
                <a16:creationId xmlns:a16="http://schemas.microsoft.com/office/drawing/2014/main" id="{A19C90C0-F224-419C-9B8E-244B88DCF2DD}"/>
              </a:ext>
            </a:extLst>
          </xdr:cNvPr>
          <xdr:cNvSpPr txBox="1"/>
        </xdr:nvSpPr>
        <xdr:spPr>
          <a:xfrm>
            <a:off x="12359640" y="5768340"/>
            <a:ext cx="838200" cy="228600"/>
          </a:xfrm>
          <a:prstGeom prst="roundRect">
            <a:avLst/>
          </a:prstGeom>
          <a:solidFill>
            <a:srgbClr val="FF7722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488F818B-00E6-4AC9-9535-EB8733771E57}" type="TxLink">
              <a:rPr lang="en-US" sz="1800" b="1" i="0" u="none" strike="noStrike">
                <a:ln>
                  <a:solidFill>
                    <a:schemeClr val="bg1"/>
                  </a:solidFill>
                </a:ln>
                <a:gradFill>
                  <a:gsLst>
                    <a:gs pos="50000">
                      <a:srgbClr val="FF7722"/>
                    </a:gs>
                    <a:gs pos="50000">
                      <a:srgbClr val="00B0A3"/>
                    </a:gs>
                  </a:gsLst>
                  <a:lin ang="10800000" scaled="1"/>
                </a:gradFill>
                <a:latin typeface="Aptos Narrow"/>
              </a:rPr>
              <a:pPr algn="ctr"/>
              <a:t>1602 h</a:t>
            </a:fld>
            <a:endParaRPr lang="en-IN" sz="1800" b="1">
              <a:ln>
                <a:solidFill>
                  <a:schemeClr val="bg1"/>
                </a:solidFill>
              </a:ln>
              <a:gradFill>
                <a:gsLst>
                  <a:gs pos="50000">
                    <a:srgbClr val="FF7722"/>
                  </a:gs>
                  <a:gs pos="50000">
                    <a:srgbClr val="00B0A3"/>
                  </a:gs>
                </a:gsLst>
                <a:lin ang="10800000" scaled="1"/>
              </a:gradFill>
            </a:endParaRPr>
          </a:p>
        </xdr:txBody>
      </xdr:sp>
      <xdr:sp macro="" textlink="CAL!K31">
        <xdr:nvSpPr>
          <xdr:cNvPr id="24" name="TextBox 23">
            <a:extLst>
              <a:ext uri="{FF2B5EF4-FFF2-40B4-BE49-F238E27FC236}">
                <a16:creationId xmlns:a16="http://schemas.microsoft.com/office/drawing/2014/main" id="{B4BFC5D0-0B69-49D3-8613-AA382E3AB8D9}"/>
              </a:ext>
            </a:extLst>
          </xdr:cNvPr>
          <xdr:cNvSpPr txBox="1"/>
        </xdr:nvSpPr>
        <xdr:spPr>
          <a:xfrm>
            <a:off x="12359640" y="5234940"/>
            <a:ext cx="838200" cy="228600"/>
          </a:xfrm>
          <a:prstGeom prst="roundRect">
            <a:avLst/>
          </a:prstGeom>
          <a:solidFill>
            <a:srgbClr val="FF7722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D1B52AB5-2F77-4622-9B93-82AB4B1AF739}" type="TxLink">
              <a:rPr lang="en-US" sz="1800" b="1" i="0" u="none" strike="noStrike">
                <a:ln>
                  <a:solidFill>
                    <a:schemeClr val="bg1"/>
                  </a:solidFill>
                </a:ln>
                <a:gradFill>
                  <a:gsLst>
                    <a:gs pos="50000">
                      <a:srgbClr val="FF7722"/>
                    </a:gs>
                    <a:gs pos="50000">
                      <a:srgbClr val="00B0A3"/>
                    </a:gs>
                  </a:gsLst>
                  <a:lin ang="10800000" scaled="1"/>
                </a:gradFill>
                <a:latin typeface="Aptos Narrow"/>
              </a:rPr>
              <a:pPr algn="ctr"/>
              <a:t>1740 h</a:t>
            </a:fld>
            <a:endParaRPr lang="en-IN" sz="1800" b="1">
              <a:ln>
                <a:solidFill>
                  <a:schemeClr val="bg1"/>
                </a:solidFill>
              </a:ln>
              <a:gradFill>
                <a:gsLst>
                  <a:gs pos="50000">
                    <a:srgbClr val="FF7722"/>
                  </a:gs>
                  <a:gs pos="50000">
                    <a:srgbClr val="00B0A3"/>
                  </a:gs>
                </a:gsLst>
                <a:lin ang="10800000" scaled="1"/>
              </a:gradFill>
            </a:endParaRPr>
          </a:p>
        </xdr:txBody>
      </xdr:sp>
      <xdr:sp macro="" textlink="">
        <xdr:nvSpPr>
          <xdr:cNvPr id="33" name="Explosion: 8 Points 32">
            <a:extLst>
              <a:ext uri="{FF2B5EF4-FFF2-40B4-BE49-F238E27FC236}">
                <a16:creationId xmlns:a16="http://schemas.microsoft.com/office/drawing/2014/main" id="{B0A7641A-3FC4-4193-99CE-00A2E600FBCA}"/>
              </a:ext>
            </a:extLst>
          </xdr:cNvPr>
          <xdr:cNvSpPr/>
        </xdr:nvSpPr>
        <xdr:spPr>
          <a:xfrm>
            <a:off x="8359140" y="144780"/>
            <a:ext cx="190500" cy="190500"/>
          </a:xfrm>
          <a:prstGeom prst="irregularSeal1">
            <a:avLst/>
          </a:prstGeom>
          <a:solidFill>
            <a:srgbClr val="00B0A3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5" name="Explosion: 8 Points 34">
            <a:extLst>
              <a:ext uri="{FF2B5EF4-FFF2-40B4-BE49-F238E27FC236}">
                <a16:creationId xmlns:a16="http://schemas.microsoft.com/office/drawing/2014/main" id="{3CEF1CD8-9BE5-440A-B7BD-E18879D2867F}"/>
              </a:ext>
            </a:extLst>
          </xdr:cNvPr>
          <xdr:cNvSpPr/>
        </xdr:nvSpPr>
        <xdr:spPr>
          <a:xfrm>
            <a:off x="5471160" y="167640"/>
            <a:ext cx="190500" cy="190500"/>
          </a:xfrm>
          <a:prstGeom prst="irregularSeal1">
            <a:avLst/>
          </a:prstGeom>
          <a:solidFill>
            <a:srgbClr val="00B0A3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6" name="Explosion: 8 Points 35">
            <a:extLst>
              <a:ext uri="{FF2B5EF4-FFF2-40B4-BE49-F238E27FC236}">
                <a16:creationId xmlns:a16="http://schemas.microsoft.com/office/drawing/2014/main" id="{470C9F8C-291D-4E45-952F-8439A9C56F99}"/>
              </a:ext>
            </a:extLst>
          </xdr:cNvPr>
          <xdr:cNvSpPr/>
        </xdr:nvSpPr>
        <xdr:spPr>
          <a:xfrm>
            <a:off x="4328160" y="419100"/>
            <a:ext cx="190500" cy="190500"/>
          </a:xfrm>
          <a:prstGeom prst="irregularSeal1">
            <a:avLst/>
          </a:prstGeom>
          <a:solidFill>
            <a:srgbClr val="00B0A3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8" name="Explosion: 8 Points 37">
            <a:extLst>
              <a:ext uri="{FF2B5EF4-FFF2-40B4-BE49-F238E27FC236}">
                <a16:creationId xmlns:a16="http://schemas.microsoft.com/office/drawing/2014/main" id="{CD5D50D6-4FED-418E-A383-83C8FD1876FB}"/>
              </a:ext>
            </a:extLst>
          </xdr:cNvPr>
          <xdr:cNvSpPr/>
        </xdr:nvSpPr>
        <xdr:spPr>
          <a:xfrm>
            <a:off x="3802380" y="236220"/>
            <a:ext cx="190500" cy="190500"/>
          </a:xfrm>
          <a:prstGeom prst="irregularSeal1">
            <a:avLst/>
          </a:prstGeom>
          <a:solidFill>
            <a:srgbClr val="00B0A3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41" name="Explosion: 8 Points 40">
            <a:extLst>
              <a:ext uri="{FF2B5EF4-FFF2-40B4-BE49-F238E27FC236}">
                <a16:creationId xmlns:a16="http://schemas.microsoft.com/office/drawing/2014/main" id="{45A60F03-0261-48BA-A2CC-9EAFC504DA18}"/>
              </a:ext>
            </a:extLst>
          </xdr:cNvPr>
          <xdr:cNvSpPr/>
        </xdr:nvSpPr>
        <xdr:spPr>
          <a:xfrm>
            <a:off x="2941320" y="472440"/>
            <a:ext cx="190500" cy="190500"/>
          </a:xfrm>
          <a:prstGeom prst="irregularSeal1">
            <a:avLst/>
          </a:prstGeom>
          <a:solidFill>
            <a:srgbClr val="00B0A3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46" name="Explosion: 8 Points 45">
            <a:extLst>
              <a:ext uri="{FF2B5EF4-FFF2-40B4-BE49-F238E27FC236}">
                <a16:creationId xmlns:a16="http://schemas.microsoft.com/office/drawing/2014/main" id="{9020F3CC-9CCF-4B72-98A5-08B0D3B399D1}"/>
              </a:ext>
            </a:extLst>
          </xdr:cNvPr>
          <xdr:cNvSpPr/>
        </xdr:nvSpPr>
        <xdr:spPr>
          <a:xfrm>
            <a:off x="2286000" y="175260"/>
            <a:ext cx="190500" cy="190500"/>
          </a:xfrm>
          <a:prstGeom prst="irregularSeal1">
            <a:avLst/>
          </a:prstGeom>
          <a:solidFill>
            <a:srgbClr val="00B0A3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53" name="Explosion: 8 Points 52">
            <a:extLst>
              <a:ext uri="{FF2B5EF4-FFF2-40B4-BE49-F238E27FC236}">
                <a16:creationId xmlns:a16="http://schemas.microsoft.com/office/drawing/2014/main" id="{B723636C-10EC-4398-9CD6-B75E5713A5D2}"/>
              </a:ext>
            </a:extLst>
          </xdr:cNvPr>
          <xdr:cNvSpPr/>
        </xdr:nvSpPr>
        <xdr:spPr>
          <a:xfrm>
            <a:off x="5958840" y="487680"/>
            <a:ext cx="190500" cy="190500"/>
          </a:xfrm>
          <a:prstGeom prst="irregularSeal1">
            <a:avLst/>
          </a:prstGeom>
          <a:solidFill>
            <a:srgbClr val="00B0A3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58" name="Explosion: 8 Points 57">
            <a:extLst>
              <a:ext uri="{FF2B5EF4-FFF2-40B4-BE49-F238E27FC236}">
                <a16:creationId xmlns:a16="http://schemas.microsoft.com/office/drawing/2014/main" id="{2A0689AC-8787-4B7E-935B-066DE3BFDB84}"/>
              </a:ext>
            </a:extLst>
          </xdr:cNvPr>
          <xdr:cNvSpPr/>
        </xdr:nvSpPr>
        <xdr:spPr>
          <a:xfrm>
            <a:off x="9479280" y="449580"/>
            <a:ext cx="190500" cy="190500"/>
          </a:xfrm>
          <a:prstGeom prst="irregularSeal1">
            <a:avLst/>
          </a:prstGeom>
          <a:solidFill>
            <a:srgbClr val="00B0A3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63" name="Explosion: 8 Points 62">
            <a:extLst>
              <a:ext uri="{FF2B5EF4-FFF2-40B4-BE49-F238E27FC236}">
                <a16:creationId xmlns:a16="http://schemas.microsoft.com/office/drawing/2014/main" id="{45E7D17A-E8E9-4526-84AF-D2C13C868BF7}"/>
              </a:ext>
            </a:extLst>
          </xdr:cNvPr>
          <xdr:cNvSpPr/>
        </xdr:nvSpPr>
        <xdr:spPr>
          <a:xfrm>
            <a:off x="10767060" y="190500"/>
            <a:ext cx="190500" cy="190500"/>
          </a:xfrm>
          <a:prstGeom prst="irregularSeal1">
            <a:avLst/>
          </a:prstGeom>
          <a:solidFill>
            <a:srgbClr val="00B0A3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73" name="Explosion: 8 Points 72">
            <a:extLst>
              <a:ext uri="{FF2B5EF4-FFF2-40B4-BE49-F238E27FC236}">
                <a16:creationId xmlns:a16="http://schemas.microsoft.com/office/drawing/2014/main" id="{7E91886C-CA77-4488-A10A-0BF3F2132F92}"/>
              </a:ext>
            </a:extLst>
          </xdr:cNvPr>
          <xdr:cNvSpPr/>
        </xdr:nvSpPr>
        <xdr:spPr>
          <a:xfrm>
            <a:off x="9852660" y="175260"/>
            <a:ext cx="190500" cy="190500"/>
          </a:xfrm>
          <a:prstGeom prst="irregularSeal1">
            <a:avLst/>
          </a:prstGeom>
          <a:solidFill>
            <a:srgbClr val="00B0A3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74" name="Explosion: 8 Points 73">
            <a:extLst>
              <a:ext uri="{FF2B5EF4-FFF2-40B4-BE49-F238E27FC236}">
                <a16:creationId xmlns:a16="http://schemas.microsoft.com/office/drawing/2014/main" id="{C5489C15-364A-4F75-A8B4-C7E3121206FF}"/>
              </a:ext>
            </a:extLst>
          </xdr:cNvPr>
          <xdr:cNvSpPr/>
        </xdr:nvSpPr>
        <xdr:spPr>
          <a:xfrm>
            <a:off x="11521440" y="381000"/>
            <a:ext cx="190500" cy="190500"/>
          </a:xfrm>
          <a:prstGeom prst="irregularSeal1">
            <a:avLst/>
          </a:prstGeom>
          <a:solidFill>
            <a:srgbClr val="00B0A3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75" name="Explosion: 8 Points 74">
            <a:extLst>
              <a:ext uri="{FF2B5EF4-FFF2-40B4-BE49-F238E27FC236}">
                <a16:creationId xmlns:a16="http://schemas.microsoft.com/office/drawing/2014/main" id="{7BACC76C-8A42-4BF0-ADF7-73A5267DEEAC}"/>
              </a:ext>
            </a:extLst>
          </xdr:cNvPr>
          <xdr:cNvSpPr/>
        </xdr:nvSpPr>
        <xdr:spPr>
          <a:xfrm>
            <a:off x="12207240" y="129540"/>
            <a:ext cx="190500" cy="190500"/>
          </a:xfrm>
          <a:prstGeom prst="irregularSeal1">
            <a:avLst/>
          </a:prstGeom>
          <a:solidFill>
            <a:srgbClr val="00B0A3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83" name="Explosion: 8 Points 82">
            <a:extLst>
              <a:ext uri="{FF2B5EF4-FFF2-40B4-BE49-F238E27FC236}">
                <a16:creationId xmlns:a16="http://schemas.microsoft.com/office/drawing/2014/main" id="{363C7954-2A0B-40D6-A911-B18599F9E838}"/>
              </a:ext>
            </a:extLst>
          </xdr:cNvPr>
          <xdr:cNvSpPr/>
        </xdr:nvSpPr>
        <xdr:spPr>
          <a:xfrm>
            <a:off x="12900660" y="342900"/>
            <a:ext cx="190500" cy="190500"/>
          </a:xfrm>
          <a:prstGeom prst="irregularSeal1">
            <a:avLst/>
          </a:prstGeom>
          <a:solidFill>
            <a:srgbClr val="00B0A3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85" name="Explosion: 8 Points 84">
            <a:extLst>
              <a:ext uri="{FF2B5EF4-FFF2-40B4-BE49-F238E27FC236}">
                <a16:creationId xmlns:a16="http://schemas.microsoft.com/office/drawing/2014/main" id="{24ED3CE7-BF86-4A1C-AC24-EBA502E43E13}"/>
              </a:ext>
            </a:extLst>
          </xdr:cNvPr>
          <xdr:cNvSpPr/>
        </xdr:nvSpPr>
        <xdr:spPr>
          <a:xfrm>
            <a:off x="3093720" y="91440"/>
            <a:ext cx="190500" cy="190500"/>
          </a:xfrm>
          <a:prstGeom prst="irregularSeal1">
            <a:avLst/>
          </a:prstGeom>
          <a:solidFill>
            <a:srgbClr val="00B0A3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90" name="Explosion: 8 Points 89">
            <a:extLst>
              <a:ext uri="{FF2B5EF4-FFF2-40B4-BE49-F238E27FC236}">
                <a16:creationId xmlns:a16="http://schemas.microsoft.com/office/drawing/2014/main" id="{930F0B90-7E54-4DC4-A543-91E495BAC122}"/>
              </a:ext>
            </a:extLst>
          </xdr:cNvPr>
          <xdr:cNvSpPr/>
        </xdr:nvSpPr>
        <xdr:spPr>
          <a:xfrm>
            <a:off x="9113520" y="121920"/>
            <a:ext cx="190500" cy="190500"/>
          </a:xfrm>
          <a:prstGeom prst="irregularSeal1">
            <a:avLst/>
          </a:prstGeom>
          <a:solidFill>
            <a:srgbClr val="00B0A3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93" name="Explosion: 8 Points 92">
            <a:extLst>
              <a:ext uri="{FF2B5EF4-FFF2-40B4-BE49-F238E27FC236}">
                <a16:creationId xmlns:a16="http://schemas.microsoft.com/office/drawing/2014/main" id="{5B236812-D6BB-4E5F-AA79-472CBF2C824A}"/>
              </a:ext>
            </a:extLst>
          </xdr:cNvPr>
          <xdr:cNvSpPr/>
        </xdr:nvSpPr>
        <xdr:spPr>
          <a:xfrm>
            <a:off x="4800600" y="60960"/>
            <a:ext cx="190500" cy="190500"/>
          </a:xfrm>
          <a:prstGeom prst="irregularSeal1">
            <a:avLst/>
          </a:prstGeom>
          <a:solidFill>
            <a:srgbClr val="00B0A3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94" name="Explosion: 8 Points 93">
            <a:extLst>
              <a:ext uri="{FF2B5EF4-FFF2-40B4-BE49-F238E27FC236}">
                <a16:creationId xmlns:a16="http://schemas.microsoft.com/office/drawing/2014/main" id="{C15E07F5-8DA1-4205-A15A-EA85D428B8DC}"/>
              </a:ext>
            </a:extLst>
          </xdr:cNvPr>
          <xdr:cNvSpPr/>
        </xdr:nvSpPr>
        <xdr:spPr>
          <a:xfrm>
            <a:off x="10256520" y="411480"/>
            <a:ext cx="190500" cy="190500"/>
          </a:xfrm>
          <a:prstGeom prst="irregularSeal1">
            <a:avLst/>
          </a:prstGeom>
          <a:solidFill>
            <a:srgbClr val="00B0A3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95" name="Explosion: 8 Points 94">
            <a:extLst>
              <a:ext uri="{FF2B5EF4-FFF2-40B4-BE49-F238E27FC236}">
                <a16:creationId xmlns:a16="http://schemas.microsoft.com/office/drawing/2014/main" id="{065BB94A-8C2C-4820-8F2F-C9EF40463AF7}"/>
              </a:ext>
            </a:extLst>
          </xdr:cNvPr>
          <xdr:cNvSpPr/>
        </xdr:nvSpPr>
        <xdr:spPr>
          <a:xfrm>
            <a:off x="5234940" y="457200"/>
            <a:ext cx="190500" cy="190500"/>
          </a:xfrm>
          <a:prstGeom prst="irregularSeal1">
            <a:avLst/>
          </a:prstGeom>
          <a:solidFill>
            <a:srgbClr val="00B0A3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" refreshedDate="46228.76215347222" createdVersion="8" refreshedVersion="8" minRefreshableVersion="3" recordCount="43" xr:uid="{C8D901FD-F562-4BC3-9446-267A02A34376}">
  <cacheSource type="worksheet">
    <worksheetSource name="_1__MONTHLY_USER_SIGNUPS"/>
  </cacheSource>
  <cacheFields count="6">
    <cacheField name="MON_YEAR" numFmtId="14">
      <sharedItems containsSemiMixedTypes="0" containsNonDate="0" containsDate="1" containsString="0" minDate="2023-01-01T00:00:00" maxDate="2026-07-02T00:00:00" count="43"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</sharedItems>
      <fieldGroup par="5"/>
    </cacheField>
    <cacheField name="TOTAL_USERS" numFmtId="0">
      <sharedItems containsSemiMixedTypes="0" containsString="0" containsNumber="1" containsInteger="1" minValue="2" maxValue="521"/>
    </cacheField>
    <cacheField name="OVERALL_AVG_USERS" numFmtId="0">
      <sharedItems containsSemiMixedTypes="0" containsString="0" containsNumber="1" containsInteger="1" minValue="154" maxValue="154"/>
    </cacheField>
    <cacheField name="Months (MON_YEAR)" numFmtId="0" databaseField="0">
      <fieldGroup base="0">
        <rangePr groupBy="months" startDate="2023-01-01T00:00:00" endDate="2026-07-02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7-2026"/>
        </groupItems>
      </fieldGroup>
    </cacheField>
    <cacheField name="Quarters (MON_YEAR)" numFmtId="0" databaseField="0">
      <fieldGroup base="0">
        <rangePr groupBy="quarters" startDate="2023-01-01T00:00:00" endDate="2026-07-02T00:00:00"/>
        <groupItems count="6">
          <s v="&lt;01-01-2023"/>
          <s v="Qtr1"/>
          <s v="Qtr2"/>
          <s v="Qtr3"/>
          <s v="Qtr4"/>
          <s v="&gt;02-07-2026"/>
        </groupItems>
      </fieldGroup>
    </cacheField>
    <cacheField name="Years (MON_YEAR)" numFmtId="0" databaseField="0">
      <fieldGroup base="0">
        <rangePr groupBy="years" startDate="2023-01-01T00:00:00" endDate="2026-07-02T00:00:00"/>
        <groupItems count="6">
          <s v="&lt;01-01-2023"/>
          <s v="2023"/>
          <s v="2024"/>
          <s v="2025"/>
          <s v="2026"/>
          <s v="&gt;02-07-2026"/>
        </groupItems>
      </fieldGroup>
    </cacheField>
  </cacheFields>
  <extLst>
    <ext xmlns:x14="http://schemas.microsoft.com/office/spreadsheetml/2009/9/main" uri="{725AE2AE-9491-48be-B2B4-4EB974FC3084}">
      <x14:pivotCacheDefinition pivotCacheId="100029809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" refreshedDate="46228.876982407404" createdVersion="8" refreshedVersion="8" minRefreshableVersion="3" recordCount="43" xr:uid="{DA334CB9-DB86-404D-B6F8-B1D937D4FE11}">
  <cacheSource type="worksheet">
    <worksheetSource name="_2__MONTHLY_SESSIONS"/>
  </cacheSource>
  <cacheFields count="6">
    <cacheField name="MON_YEAR" numFmtId="14">
      <sharedItems containsSemiMixedTypes="0" containsNonDate="0" containsDate="1" containsString="0" minDate="2023-01-01T00:00:00" maxDate="2026-07-02T00:00:00" count="43"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</sharedItems>
      <fieldGroup par="5"/>
    </cacheField>
    <cacheField name="TOTAL_SESSION" numFmtId="0">
      <sharedItems containsSemiMixedTypes="0" containsString="0" containsNumber="1" containsInteger="1" minValue="2" maxValue="762" count="41">
        <n v="2"/>
        <n v="8"/>
        <n v="10"/>
        <n v="22"/>
        <n v="17"/>
        <n v="32"/>
        <n v="38"/>
        <n v="42"/>
        <n v="52"/>
        <n v="57"/>
        <n v="51"/>
        <n v="58"/>
        <n v="77"/>
        <n v="88"/>
        <n v="94"/>
        <n v="87"/>
        <n v="104"/>
        <n v="142"/>
        <n v="110"/>
        <n v="118"/>
        <n v="138"/>
        <n v="170"/>
        <n v="155"/>
        <n v="151"/>
        <n v="172"/>
        <n v="185"/>
        <n v="187"/>
        <n v="224"/>
        <n v="232"/>
        <n v="243"/>
        <n v="260"/>
        <n v="277"/>
        <n v="296"/>
        <n v="332"/>
        <n v="350"/>
        <n v="364"/>
        <n v="451"/>
        <n v="517"/>
        <n v="603"/>
        <n v="762"/>
        <n v="178"/>
      </sharedItems>
    </cacheField>
    <cacheField name="OVERALL_AVG_SESSIONS" numFmtId="0">
      <sharedItems containsSemiMixedTypes="0" containsString="0" containsNumber="1" containsInteger="1" minValue="174" maxValue="174"/>
    </cacheField>
    <cacheField name="Months (MON_YEAR)" numFmtId="0" databaseField="0">
      <fieldGroup base="0">
        <rangePr groupBy="months" startDate="2023-01-01T00:00:00" endDate="2026-07-02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7-2026"/>
        </groupItems>
      </fieldGroup>
    </cacheField>
    <cacheField name="Quarters (MON_YEAR)" numFmtId="0" databaseField="0">
      <fieldGroup base="0">
        <rangePr groupBy="quarters" startDate="2023-01-01T00:00:00" endDate="2026-07-02T00:00:00"/>
        <groupItems count="6">
          <s v="&lt;01-01-2023"/>
          <s v="Qtr1"/>
          <s v="Qtr2"/>
          <s v="Qtr3"/>
          <s v="Qtr4"/>
          <s v="&gt;02-07-2026"/>
        </groupItems>
      </fieldGroup>
    </cacheField>
    <cacheField name="Years (MON_YEAR)" numFmtId="0" databaseField="0">
      <fieldGroup base="0">
        <rangePr groupBy="years" startDate="2023-01-01T00:00:00" endDate="2026-07-02T00:00:00"/>
        <groupItems count="6">
          <s v="&lt;01-01-2023"/>
          <s v="2023"/>
          <s v="2024"/>
          <s v="2025"/>
          <s v="2026"/>
          <s v="&gt;02-07-2026"/>
        </groupItems>
      </fieldGroup>
    </cacheField>
  </cacheFields>
  <extLst>
    <ext xmlns:x14="http://schemas.microsoft.com/office/spreadsheetml/2009/9/main" uri="{725AE2AE-9491-48be-B2B4-4EB974FC3084}">
      <x14:pivotCacheDefinition pivotCacheId="1492648275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" refreshedDate="46228.897669560189" createdVersion="8" refreshedVersion="8" minRefreshableVersion="3" recordCount="43" xr:uid="{4F163FFC-E5AB-4490-926A-75DD3944A7C8}">
  <cacheSource type="worksheet">
    <worksheetSource name="_3__MONTHLY_TOKEN_USED"/>
  </cacheSource>
  <cacheFields count="6">
    <cacheField name="MON_YEAR" numFmtId="14">
      <sharedItems containsSemiMixedTypes="0" containsNonDate="0" containsDate="1" containsString="0" minDate="2023-01-01T00:00:00" maxDate="2026-07-02T00:00:00" count="43"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</sharedItems>
      <fieldGroup par="5"/>
    </cacheField>
    <cacheField name="TOTAL_TOKEN_USED" numFmtId="0">
      <sharedItems containsSemiMixedTypes="0" containsString="0" containsNumber="1" containsInteger="1" minValue="1880" maxValue="543467"/>
    </cacheField>
    <cacheField name="OVERALL_AVG_TOKEN_USED" numFmtId="0">
      <sharedItems containsSemiMixedTypes="0" containsString="0" containsNumber="1" containsInteger="1" minValue="125541" maxValue="125541"/>
    </cacheField>
    <cacheField name="Months (MON_YEAR)" numFmtId="0" databaseField="0">
      <fieldGroup base="0">
        <rangePr groupBy="months" startDate="2023-01-01T00:00:00" endDate="2026-07-02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7-2026"/>
        </groupItems>
      </fieldGroup>
    </cacheField>
    <cacheField name="Quarters (MON_YEAR)" numFmtId="0" databaseField="0">
      <fieldGroup base="0">
        <rangePr groupBy="quarters" startDate="2023-01-01T00:00:00" endDate="2026-07-02T00:00:00"/>
        <groupItems count="6">
          <s v="&lt;01-01-2023"/>
          <s v="Qtr1"/>
          <s v="Qtr2"/>
          <s v="Qtr3"/>
          <s v="Qtr4"/>
          <s v="&gt;02-07-2026"/>
        </groupItems>
      </fieldGroup>
    </cacheField>
    <cacheField name="Years (MON_YEAR)" numFmtId="0" databaseField="0">
      <fieldGroup base="0">
        <rangePr groupBy="years" startDate="2023-01-01T00:00:00" endDate="2026-07-02T00:00:00"/>
        <groupItems count="6">
          <s v="&lt;01-01-2023"/>
          <s v="2023"/>
          <s v="2024"/>
          <s v="2025"/>
          <s v="2026"/>
          <s v="&gt;02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" refreshedDate="46228.946647916666" createdVersion="8" refreshedVersion="8" minRefreshableVersion="3" recordCount="43" xr:uid="{0F89F605-FA98-4494-92B2-6077F754AA51}">
  <cacheSource type="worksheet">
    <worksheetSource ref="F1:G44" sheet="4  MONTHLY AVG SESSION DURATION"/>
  </cacheSource>
  <cacheFields count="5">
    <cacheField name="MON_YEAR" numFmtId="14">
      <sharedItems containsSemiMixedTypes="0" containsNonDate="0" containsDate="1" containsString="0" minDate="2023-01-01T00:00:00" maxDate="2026-07-02T00:00:00" count="43"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</sharedItems>
      <fieldGroup par="4"/>
    </cacheField>
    <cacheField name="TOTAL_DURATION" numFmtId="0">
      <sharedItems containsSemiMixedTypes="0" containsString="0" containsNumber="1" minValue="5.555555555556424E-3" maxValue="0.99930555555555545"/>
    </cacheField>
    <cacheField name="Months (MON_YEAR)" numFmtId="0" databaseField="0">
      <fieldGroup base="0">
        <rangePr groupBy="months" startDate="2023-01-01T00:00:00" endDate="2026-07-02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7-2026"/>
        </groupItems>
      </fieldGroup>
    </cacheField>
    <cacheField name="Quarters (MON_YEAR)" numFmtId="0" databaseField="0">
      <fieldGroup base="0">
        <rangePr groupBy="quarters" startDate="2023-01-01T00:00:00" endDate="2026-07-02T00:00:00"/>
        <groupItems count="6">
          <s v="&lt;01-01-2023"/>
          <s v="Qtr1"/>
          <s v="Qtr2"/>
          <s v="Qtr3"/>
          <s v="Qtr4"/>
          <s v="&gt;02-07-2026"/>
        </groupItems>
      </fieldGroup>
    </cacheField>
    <cacheField name="Years (MON_YEAR)" numFmtId="0" databaseField="0">
      <fieldGroup base="0">
        <rangePr groupBy="years" startDate="2023-01-01T00:00:00" endDate="2026-07-02T00:00:00"/>
        <groupItems count="6">
          <s v="&lt;01-01-2023"/>
          <s v="2023"/>
          <s v="2024"/>
          <s v="2025"/>
          <s v="2026"/>
          <s v="&gt;02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" refreshedDate="46229.588928703706" createdVersion="8" refreshedVersion="8" minRefreshableVersion="3" recordCount="1081" xr:uid="{B2FFD3FF-D693-46E1-A7FB-88CB54DE5FF0}">
  <cacheSource type="worksheet">
    <worksheetSource name="_5__DAILY_USAGE_TREND"/>
  </cacheSource>
  <cacheFields count="8">
    <cacheField name="USAGE_DATE" numFmtId="14">
      <sharedItems containsSemiMixedTypes="0" containsNonDate="0" containsDate="1" containsString="0" minDate="2023-01-22T00:00:00" maxDate="2026-07-05T00:00:00"/>
    </cacheField>
    <cacheField name="TOTAL_USERS" numFmtId="0">
      <sharedItems containsSemiMixedTypes="0" containsString="0" containsNumber="1" containsInteger="1" minValue="1" maxValue="42"/>
    </cacheField>
    <cacheField name="TOTAL_TOOL_USED" numFmtId="0">
      <sharedItems containsSemiMixedTypes="0" containsString="0" containsNumber="1" containsInteger="1" minValue="1" maxValue="10" count="10">
        <n v="1"/>
        <n v="2"/>
        <n v="3"/>
        <n v="4"/>
        <n v="5"/>
        <n v="8"/>
        <n v="6"/>
        <n v="9"/>
        <n v="7"/>
        <n v="10"/>
      </sharedItems>
    </cacheField>
    <cacheField name="TOTAL_PROMPTS" numFmtId="0">
      <sharedItems containsSemiMixedTypes="0" containsString="0" containsNumber="1" containsInteger="1" minValue="1" maxValue="110"/>
    </cacheField>
    <cacheField name="TOTAL_TOKEN_USED" numFmtId="0">
      <sharedItems containsSemiMixedTypes="0" containsString="0" containsNumber="1" containsInteger="1" minValue="103" maxValue="40399"/>
    </cacheField>
    <cacheField name="TOTAL_SESSIONS" numFmtId="0">
      <sharedItems containsSemiMixedTypes="0" containsString="0" containsNumber="1" containsInteger="1" minValue="1" maxValue="49"/>
    </cacheField>
    <cacheField name="TOTAL_DURATION" numFmtId="0">
      <sharedItems/>
    </cacheField>
    <cacheField name="Column1" numFmtId="0">
      <sharedItems containsSemiMixedTypes="0" containsString="0" containsNumber="1" minValue="0" maxValue="0.994444444444444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x v="0"/>
    <n v="2"/>
    <n v="154"/>
  </r>
  <r>
    <x v="1"/>
    <n v="8"/>
    <n v="154"/>
  </r>
  <r>
    <x v="2"/>
    <n v="10"/>
    <n v="154"/>
  </r>
  <r>
    <x v="3"/>
    <n v="20"/>
    <n v="154"/>
  </r>
  <r>
    <x v="4"/>
    <n v="22"/>
    <n v="154"/>
  </r>
  <r>
    <x v="5"/>
    <n v="17"/>
    <n v="154"/>
  </r>
  <r>
    <x v="6"/>
    <n v="22"/>
    <n v="154"/>
  </r>
  <r>
    <x v="7"/>
    <n v="29"/>
    <n v="154"/>
  </r>
  <r>
    <x v="8"/>
    <n v="36"/>
    <n v="154"/>
  </r>
  <r>
    <x v="9"/>
    <n v="41"/>
    <n v="154"/>
  </r>
  <r>
    <x v="10"/>
    <n v="48"/>
    <n v="154"/>
  </r>
  <r>
    <x v="11"/>
    <n v="56"/>
    <n v="154"/>
  </r>
  <r>
    <x v="12"/>
    <n v="48"/>
    <n v="154"/>
  </r>
  <r>
    <x v="13"/>
    <n v="56"/>
    <n v="154"/>
  </r>
  <r>
    <x v="14"/>
    <n v="73"/>
    <n v="154"/>
  </r>
  <r>
    <x v="15"/>
    <n v="81"/>
    <n v="154"/>
  </r>
  <r>
    <x v="16"/>
    <n v="92"/>
    <n v="154"/>
  </r>
  <r>
    <x v="17"/>
    <n v="83"/>
    <n v="154"/>
  </r>
  <r>
    <x v="18"/>
    <n v="98"/>
    <n v="154"/>
  </r>
  <r>
    <x v="19"/>
    <n v="136"/>
    <n v="154"/>
  </r>
  <r>
    <x v="20"/>
    <n v="108"/>
    <n v="154"/>
  </r>
  <r>
    <x v="21"/>
    <n v="111"/>
    <n v="154"/>
  </r>
  <r>
    <x v="22"/>
    <n v="133"/>
    <n v="154"/>
  </r>
  <r>
    <x v="23"/>
    <n v="156"/>
    <n v="154"/>
  </r>
  <r>
    <x v="24"/>
    <n v="146"/>
    <n v="154"/>
  </r>
  <r>
    <x v="25"/>
    <n v="146"/>
    <n v="154"/>
  </r>
  <r>
    <x v="26"/>
    <n v="160"/>
    <n v="154"/>
  </r>
  <r>
    <x v="27"/>
    <n v="175"/>
    <n v="154"/>
  </r>
  <r>
    <x v="28"/>
    <n v="183"/>
    <n v="154"/>
  </r>
  <r>
    <x v="29"/>
    <n v="206"/>
    <n v="154"/>
  </r>
  <r>
    <x v="30"/>
    <n v="217"/>
    <n v="154"/>
  </r>
  <r>
    <x v="31"/>
    <n v="222"/>
    <n v="154"/>
  </r>
  <r>
    <x v="32"/>
    <n v="237"/>
    <n v="154"/>
  </r>
  <r>
    <x v="33"/>
    <n v="257"/>
    <n v="154"/>
  </r>
  <r>
    <x v="34"/>
    <n v="261"/>
    <n v="154"/>
  </r>
  <r>
    <x v="35"/>
    <n v="306"/>
    <n v="154"/>
  </r>
  <r>
    <x v="36"/>
    <n v="313"/>
    <n v="154"/>
  </r>
  <r>
    <x v="37"/>
    <n v="321"/>
    <n v="154"/>
  </r>
  <r>
    <x v="38"/>
    <n v="396"/>
    <n v="154"/>
  </r>
  <r>
    <x v="39"/>
    <n v="435"/>
    <n v="154"/>
  </r>
  <r>
    <x v="40"/>
    <n v="494"/>
    <n v="154"/>
  </r>
  <r>
    <x v="41"/>
    <n v="521"/>
    <n v="154"/>
  </r>
  <r>
    <x v="42"/>
    <n v="133"/>
    <n v="15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x v="0"/>
    <x v="0"/>
    <n v="174"/>
  </r>
  <r>
    <x v="1"/>
    <x v="1"/>
    <n v="174"/>
  </r>
  <r>
    <x v="2"/>
    <x v="2"/>
    <n v="174"/>
  </r>
  <r>
    <x v="3"/>
    <x v="3"/>
    <n v="174"/>
  </r>
  <r>
    <x v="4"/>
    <x v="3"/>
    <n v="174"/>
  </r>
  <r>
    <x v="5"/>
    <x v="4"/>
    <n v="174"/>
  </r>
  <r>
    <x v="6"/>
    <x v="3"/>
    <n v="174"/>
  </r>
  <r>
    <x v="7"/>
    <x v="5"/>
    <n v="174"/>
  </r>
  <r>
    <x v="8"/>
    <x v="6"/>
    <n v="174"/>
  </r>
  <r>
    <x v="9"/>
    <x v="7"/>
    <n v="174"/>
  </r>
  <r>
    <x v="10"/>
    <x v="8"/>
    <n v="174"/>
  </r>
  <r>
    <x v="11"/>
    <x v="9"/>
    <n v="174"/>
  </r>
  <r>
    <x v="12"/>
    <x v="10"/>
    <n v="174"/>
  </r>
  <r>
    <x v="13"/>
    <x v="11"/>
    <n v="174"/>
  </r>
  <r>
    <x v="14"/>
    <x v="12"/>
    <n v="174"/>
  </r>
  <r>
    <x v="15"/>
    <x v="13"/>
    <n v="174"/>
  </r>
  <r>
    <x v="16"/>
    <x v="14"/>
    <n v="174"/>
  </r>
  <r>
    <x v="17"/>
    <x v="15"/>
    <n v="174"/>
  </r>
  <r>
    <x v="18"/>
    <x v="16"/>
    <n v="174"/>
  </r>
  <r>
    <x v="19"/>
    <x v="17"/>
    <n v="174"/>
  </r>
  <r>
    <x v="20"/>
    <x v="18"/>
    <n v="174"/>
  </r>
  <r>
    <x v="21"/>
    <x v="19"/>
    <n v="174"/>
  </r>
  <r>
    <x v="22"/>
    <x v="20"/>
    <n v="174"/>
  </r>
  <r>
    <x v="23"/>
    <x v="21"/>
    <n v="174"/>
  </r>
  <r>
    <x v="24"/>
    <x v="22"/>
    <n v="174"/>
  </r>
  <r>
    <x v="25"/>
    <x v="23"/>
    <n v="174"/>
  </r>
  <r>
    <x v="26"/>
    <x v="24"/>
    <n v="174"/>
  </r>
  <r>
    <x v="27"/>
    <x v="25"/>
    <n v="174"/>
  </r>
  <r>
    <x v="28"/>
    <x v="26"/>
    <n v="174"/>
  </r>
  <r>
    <x v="29"/>
    <x v="27"/>
    <n v="174"/>
  </r>
  <r>
    <x v="30"/>
    <x v="28"/>
    <n v="174"/>
  </r>
  <r>
    <x v="31"/>
    <x v="29"/>
    <n v="174"/>
  </r>
  <r>
    <x v="32"/>
    <x v="30"/>
    <n v="174"/>
  </r>
  <r>
    <x v="33"/>
    <x v="31"/>
    <n v="174"/>
  </r>
  <r>
    <x v="34"/>
    <x v="32"/>
    <n v="174"/>
  </r>
  <r>
    <x v="35"/>
    <x v="33"/>
    <n v="174"/>
  </r>
  <r>
    <x v="36"/>
    <x v="34"/>
    <n v="174"/>
  </r>
  <r>
    <x v="37"/>
    <x v="35"/>
    <n v="174"/>
  </r>
  <r>
    <x v="38"/>
    <x v="36"/>
    <n v="174"/>
  </r>
  <r>
    <x v="39"/>
    <x v="37"/>
    <n v="174"/>
  </r>
  <r>
    <x v="40"/>
    <x v="38"/>
    <n v="174"/>
  </r>
  <r>
    <x v="41"/>
    <x v="39"/>
    <n v="174"/>
  </r>
  <r>
    <x v="42"/>
    <x v="40"/>
    <n v="17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x v="0"/>
    <n v="1880"/>
    <n v="125541"/>
  </r>
  <r>
    <x v="1"/>
    <n v="4420"/>
    <n v="125541"/>
  </r>
  <r>
    <x v="2"/>
    <n v="5603"/>
    <n v="125541"/>
  </r>
  <r>
    <x v="3"/>
    <n v="18718"/>
    <n v="125541"/>
  </r>
  <r>
    <x v="4"/>
    <n v="13862"/>
    <n v="125541"/>
  </r>
  <r>
    <x v="5"/>
    <n v="12063"/>
    <n v="125541"/>
  </r>
  <r>
    <x v="6"/>
    <n v="21149"/>
    <n v="125541"/>
  </r>
  <r>
    <x v="7"/>
    <n v="23383"/>
    <n v="125541"/>
  </r>
  <r>
    <x v="8"/>
    <n v="33572"/>
    <n v="125541"/>
  </r>
  <r>
    <x v="9"/>
    <n v="42130"/>
    <n v="125541"/>
  </r>
  <r>
    <x v="10"/>
    <n v="38083"/>
    <n v="125541"/>
  </r>
  <r>
    <x v="11"/>
    <n v="45046"/>
    <n v="125541"/>
  </r>
  <r>
    <x v="12"/>
    <n v="42103"/>
    <n v="125541"/>
  </r>
  <r>
    <x v="13"/>
    <n v="38094"/>
    <n v="125541"/>
  </r>
  <r>
    <x v="14"/>
    <n v="66346"/>
    <n v="125541"/>
  </r>
  <r>
    <x v="15"/>
    <n v="63964"/>
    <n v="125541"/>
  </r>
  <r>
    <x v="16"/>
    <n v="71175"/>
    <n v="125541"/>
  </r>
  <r>
    <x v="17"/>
    <n v="56637"/>
    <n v="125541"/>
  </r>
  <r>
    <x v="18"/>
    <n v="74194"/>
    <n v="125541"/>
  </r>
  <r>
    <x v="19"/>
    <n v="98506"/>
    <n v="125541"/>
  </r>
  <r>
    <x v="20"/>
    <n v="85785"/>
    <n v="125541"/>
  </r>
  <r>
    <x v="21"/>
    <n v="79849"/>
    <n v="125541"/>
  </r>
  <r>
    <x v="22"/>
    <n v="99876"/>
    <n v="125541"/>
  </r>
  <r>
    <x v="23"/>
    <n v="121053"/>
    <n v="125541"/>
  </r>
  <r>
    <x v="24"/>
    <n v="115069"/>
    <n v="125541"/>
  </r>
  <r>
    <x v="25"/>
    <n v="115162"/>
    <n v="125541"/>
  </r>
  <r>
    <x v="26"/>
    <n v="129701"/>
    <n v="125541"/>
  </r>
  <r>
    <x v="27"/>
    <n v="135782"/>
    <n v="125541"/>
  </r>
  <r>
    <x v="28"/>
    <n v="127706"/>
    <n v="125541"/>
  </r>
  <r>
    <x v="29"/>
    <n v="155423"/>
    <n v="125541"/>
  </r>
  <r>
    <x v="30"/>
    <n v="157741"/>
    <n v="125541"/>
  </r>
  <r>
    <x v="31"/>
    <n v="162707"/>
    <n v="125541"/>
  </r>
  <r>
    <x v="32"/>
    <n v="182969"/>
    <n v="125541"/>
  </r>
  <r>
    <x v="33"/>
    <n v="202741"/>
    <n v="125541"/>
  </r>
  <r>
    <x v="34"/>
    <n v="202049"/>
    <n v="125541"/>
  </r>
  <r>
    <x v="35"/>
    <n v="235100"/>
    <n v="125541"/>
  </r>
  <r>
    <x v="36"/>
    <n v="252255"/>
    <n v="125541"/>
  </r>
  <r>
    <x v="37"/>
    <n v="261328"/>
    <n v="125541"/>
  </r>
  <r>
    <x v="38"/>
    <n v="323561"/>
    <n v="125541"/>
  </r>
  <r>
    <x v="39"/>
    <n v="382024"/>
    <n v="125541"/>
  </r>
  <r>
    <x v="40"/>
    <n v="435977"/>
    <n v="125541"/>
  </r>
  <r>
    <x v="41"/>
    <n v="543467"/>
    <n v="125541"/>
  </r>
  <r>
    <x v="42"/>
    <n v="119995"/>
    <n v="12554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x v="0"/>
    <n v="0.37361111111111112"/>
  </r>
  <r>
    <x v="1"/>
    <n v="0.54374999999999996"/>
  </r>
  <r>
    <x v="2"/>
    <n v="0.77847222222222223"/>
  </r>
  <r>
    <x v="3"/>
    <n v="0.61597222222222214"/>
  </r>
  <r>
    <x v="4"/>
    <n v="0.29444444444444451"/>
  </r>
  <r>
    <x v="5"/>
    <n v="0.43124999999999991"/>
  </r>
  <r>
    <x v="6"/>
    <n v="0.9458333333333333"/>
  </r>
  <r>
    <x v="7"/>
    <n v="0.99930555555555545"/>
  </r>
  <r>
    <x v="8"/>
    <n v="0.85000000000000009"/>
  </r>
  <r>
    <x v="9"/>
    <n v="0.76111111111111107"/>
  </r>
  <r>
    <x v="10"/>
    <n v="0.18472222222222223"/>
  </r>
  <r>
    <x v="11"/>
    <n v="0.42708333333333348"/>
  </r>
  <r>
    <x v="12"/>
    <n v="0.65833333333333321"/>
  </r>
  <r>
    <x v="13"/>
    <n v="0.67152777777777795"/>
  </r>
  <r>
    <x v="14"/>
    <n v="0.9534722222222225"/>
  </r>
  <r>
    <x v="15"/>
    <n v="0.69236111111111143"/>
  </r>
  <r>
    <x v="16"/>
    <n v="0.39166666666666661"/>
  </r>
  <r>
    <x v="17"/>
    <n v="0.90694444444444455"/>
  </r>
  <r>
    <x v="18"/>
    <n v="0.51319444444444429"/>
  </r>
  <r>
    <x v="19"/>
    <n v="0.63402777777777786"/>
  </r>
  <r>
    <x v="20"/>
    <n v="0.11388888888888893"/>
  </r>
  <r>
    <x v="21"/>
    <n v="6.9444444444444642E-2"/>
  </r>
  <r>
    <x v="22"/>
    <n v="0.6875"/>
  </r>
  <r>
    <x v="23"/>
    <n v="5.555555555556424E-3"/>
  </r>
  <r>
    <x v="24"/>
    <n v="0.43958333333333321"/>
  </r>
  <r>
    <x v="25"/>
    <n v="0.81111111111111089"/>
  </r>
  <r>
    <x v="26"/>
    <n v="0.77222222222222214"/>
  </r>
  <r>
    <x v="27"/>
    <n v="0.72499999999999964"/>
  </r>
  <r>
    <x v="28"/>
    <n v="0.46111111111111036"/>
  </r>
  <r>
    <x v="29"/>
    <n v="0.96875"/>
  </r>
  <r>
    <x v="30"/>
    <n v="0.74097222222222214"/>
  </r>
  <r>
    <x v="31"/>
    <n v="0.39236111111111072"/>
  </r>
  <r>
    <x v="32"/>
    <n v="0.25833333333333286"/>
  </r>
  <r>
    <x v="33"/>
    <n v="0.55138888888888715"/>
  </r>
  <r>
    <x v="34"/>
    <n v="0.22500000000000142"/>
  </r>
  <r>
    <x v="35"/>
    <n v="0.28402777777777644"/>
  </r>
  <r>
    <x v="36"/>
    <n v="0.71666666666666501"/>
  </r>
  <r>
    <x v="37"/>
    <n v="0.68333333333333357"/>
  </r>
  <r>
    <x v="38"/>
    <n v="7.6388888888889284E-2"/>
  </r>
  <r>
    <x v="39"/>
    <n v="0.99097222222222214"/>
  </r>
  <r>
    <x v="40"/>
    <n v="0.74236111111110858"/>
  </r>
  <r>
    <x v="41"/>
    <n v="0.59861111111111143"/>
  </r>
  <r>
    <x v="42"/>
    <n v="0.2833333333333332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1">
  <r>
    <d v="2023-01-22T00:00:00"/>
    <n v="1"/>
    <x v="0"/>
    <n v="4"/>
    <n v="1002"/>
    <n v="1"/>
    <s v="14hour20min"/>
    <n v="0.59722222222222221"/>
  </r>
  <r>
    <d v="2023-01-25T00:00:00"/>
    <n v="1"/>
    <x v="0"/>
    <n v="2"/>
    <n v="878"/>
    <n v="1"/>
    <s v="10hour46min"/>
    <n v="0.44861111111111113"/>
  </r>
  <r>
    <d v="2023-02-01T00:00:00"/>
    <n v="1"/>
    <x v="0"/>
    <n v="2"/>
    <n v="299"/>
    <n v="1"/>
    <s v="12hour32min"/>
    <n v="0.52222222222222225"/>
  </r>
  <r>
    <d v="2023-02-02T00:00:00"/>
    <n v="2"/>
    <x v="1"/>
    <n v="3"/>
    <n v="901"/>
    <n v="2"/>
    <s v="6hour30min"/>
    <n v="0.27083333333333331"/>
  </r>
  <r>
    <d v="2023-02-04T00:00:00"/>
    <n v="1"/>
    <x v="0"/>
    <n v="1"/>
    <n v="164"/>
    <n v="1"/>
    <s v="0hour12min"/>
    <n v="8.3333333333333332E-3"/>
  </r>
  <r>
    <d v="2023-02-09T00:00:00"/>
    <n v="1"/>
    <x v="0"/>
    <n v="2"/>
    <n v="515"/>
    <n v="1"/>
    <s v="1hour20min"/>
    <n v="5.5555555555555552E-2"/>
  </r>
  <r>
    <d v="2023-02-18T00:00:00"/>
    <n v="1"/>
    <x v="0"/>
    <n v="4"/>
    <n v="1433"/>
    <n v="1"/>
    <s v="3hour56min"/>
    <n v="0.16388888888888889"/>
  </r>
  <r>
    <d v="2023-02-24T00:00:00"/>
    <n v="1"/>
    <x v="0"/>
    <n v="1"/>
    <n v="690"/>
    <n v="1"/>
    <s v="0hour19min"/>
    <n v="1.3194444444444444E-2"/>
  </r>
  <r>
    <d v="2023-02-28T00:00:00"/>
    <n v="1"/>
    <x v="0"/>
    <n v="2"/>
    <n v="418"/>
    <n v="1"/>
    <s v="0hour12min"/>
    <n v="8.3333333333333332E-3"/>
  </r>
  <r>
    <d v="2023-03-12T00:00:00"/>
    <n v="1"/>
    <x v="0"/>
    <n v="3"/>
    <n v="1082"/>
    <n v="1"/>
    <s v="1hour48min"/>
    <n v="7.4999999999999997E-2"/>
  </r>
  <r>
    <d v="2023-03-15T00:00:00"/>
    <n v="1"/>
    <x v="0"/>
    <n v="1"/>
    <n v="379"/>
    <n v="1"/>
    <s v="0hour55min"/>
    <n v="3.8194444444444448E-2"/>
  </r>
  <r>
    <d v="2023-03-20T00:00:00"/>
    <n v="1"/>
    <x v="0"/>
    <n v="3"/>
    <n v="778"/>
    <n v="1"/>
    <s v="3hour30min"/>
    <n v="0.14583333333333334"/>
  </r>
  <r>
    <d v="2023-03-21T00:00:00"/>
    <n v="1"/>
    <x v="0"/>
    <n v="1"/>
    <n v="501"/>
    <n v="1"/>
    <s v="0hour43min"/>
    <n v="2.9861111111111113E-2"/>
  </r>
  <r>
    <d v="2023-03-23T00:00:00"/>
    <n v="1"/>
    <x v="0"/>
    <n v="2"/>
    <n v="661"/>
    <n v="1"/>
    <s v="10hour24min"/>
    <n v="0.43333333333333335"/>
  </r>
  <r>
    <d v="2023-03-24T00:00:00"/>
    <n v="1"/>
    <x v="0"/>
    <n v="1"/>
    <n v="630"/>
    <n v="1"/>
    <s v="7hour23min"/>
    <n v="0.30763888888888891"/>
  </r>
  <r>
    <d v="2023-03-25T00:00:00"/>
    <n v="1"/>
    <x v="0"/>
    <n v="2"/>
    <n v="533"/>
    <n v="1"/>
    <s v="1hour48min"/>
    <n v="7.4999999999999997E-2"/>
  </r>
  <r>
    <d v="2023-03-26T00:00:00"/>
    <n v="1"/>
    <x v="0"/>
    <n v="1"/>
    <n v="307"/>
    <n v="1"/>
    <s v="0hour12min"/>
    <n v="8.3333333333333332E-3"/>
  </r>
  <r>
    <d v="2023-03-27T00:00:00"/>
    <n v="1"/>
    <x v="0"/>
    <n v="2"/>
    <n v="732"/>
    <n v="1"/>
    <s v="2hour12min"/>
    <n v="9.166666666666666E-2"/>
  </r>
  <r>
    <d v="2023-04-01T00:00:00"/>
    <n v="1"/>
    <x v="0"/>
    <n v="2"/>
    <n v="695"/>
    <n v="1"/>
    <s v="0hour14min"/>
    <n v="9.7222222222222224E-3"/>
  </r>
  <r>
    <d v="2023-04-04T00:00:00"/>
    <n v="1"/>
    <x v="0"/>
    <n v="4"/>
    <n v="1180"/>
    <n v="1"/>
    <s v="0hour32min"/>
    <n v="2.2222222222222223E-2"/>
  </r>
  <r>
    <d v="2023-04-05T00:00:00"/>
    <n v="1"/>
    <x v="0"/>
    <n v="3"/>
    <n v="947"/>
    <n v="1"/>
    <s v="5hour54min"/>
    <n v="0.24583333333333332"/>
  </r>
  <r>
    <d v="2023-04-09T00:00:00"/>
    <n v="2"/>
    <x v="1"/>
    <n v="5"/>
    <n v="2181"/>
    <n v="2"/>
    <s v="11hour41min"/>
    <n v="0.48680555555555555"/>
  </r>
  <r>
    <d v="2023-04-11T00:00:00"/>
    <n v="2"/>
    <x v="1"/>
    <n v="4"/>
    <n v="1902"/>
    <n v="2"/>
    <s v="12hour2min"/>
    <n v="0.50138888888888888"/>
  </r>
  <r>
    <d v="2023-04-12T00:00:00"/>
    <n v="1"/>
    <x v="0"/>
    <n v="2"/>
    <n v="901"/>
    <n v="1"/>
    <s v="3hour42min"/>
    <n v="0.15416666666666667"/>
  </r>
  <r>
    <d v="2023-04-14T00:00:00"/>
    <n v="1"/>
    <x v="0"/>
    <n v="1"/>
    <n v="790"/>
    <n v="1"/>
    <s v="0hour12min"/>
    <n v="8.3333333333333332E-3"/>
  </r>
  <r>
    <d v="2023-04-17T00:00:00"/>
    <n v="1"/>
    <x v="0"/>
    <n v="2"/>
    <n v="605"/>
    <n v="1"/>
    <s v="2hour18min"/>
    <n v="9.583333333333334E-2"/>
  </r>
  <r>
    <d v="2023-04-18T00:00:00"/>
    <n v="3"/>
    <x v="1"/>
    <n v="6"/>
    <n v="2384"/>
    <n v="3"/>
    <s v="11hour2min"/>
    <n v="0.4597222222222222"/>
  </r>
  <r>
    <d v="2023-04-19T00:00:00"/>
    <n v="1"/>
    <x v="1"/>
    <n v="7"/>
    <n v="1729"/>
    <n v="2"/>
    <s v="7hour1min"/>
    <n v="0.29236111111111113"/>
  </r>
  <r>
    <d v="2023-04-21T00:00:00"/>
    <n v="1"/>
    <x v="0"/>
    <n v="3"/>
    <n v="812"/>
    <n v="1"/>
    <s v="0hour24min"/>
    <n v="1.6666666666666666E-2"/>
  </r>
  <r>
    <d v="2023-04-22T00:00:00"/>
    <n v="1"/>
    <x v="0"/>
    <n v="4"/>
    <n v="1830"/>
    <n v="1"/>
    <s v="4hour48min"/>
    <n v="0.2"/>
  </r>
  <r>
    <d v="2023-04-24T00:00:00"/>
    <n v="1"/>
    <x v="0"/>
    <n v="2"/>
    <n v="777"/>
    <n v="1"/>
    <s v="1hour48min"/>
    <n v="7.4999999999999997E-2"/>
  </r>
  <r>
    <d v="2023-04-25T00:00:00"/>
    <n v="1"/>
    <x v="0"/>
    <n v="3"/>
    <n v="1127"/>
    <n v="1"/>
    <s v="12hour0min"/>
    <n v="0.5"/>
  </r>
  <r>
    <d v="2023-04-28T00:00:00"/>
    <n v="2"/>
    <x v="1"/>
    <n v="4"/>
    <n v="858"/>
    <n v="2"/>
    <s v="15hour30min"/>
    <n v="0.64583333333333337"/>
  </r>
  <r>
    <d v="2023-05-02T00:00:00"/>
    <n v="1"/>
    <x v="0"/>
    <n v="2"/>
    <n v="880"/>
    <n v="1"/>
    <s v="2hour18min"/>
    <n v="9.583333333333334E-2"/>
  </r>
  <r>
    <d v="2023-05-03T00:00:00"/>
    <n v="2"/>
    <x v="1"/>
    <n v="4"/>
    <n v="938"/>
    <n v="2"/>
    <s v="8hour18min"/>
    <n v="0.34583333333333333"/>
  </r>
  <r>
    <d v="2023-05-04T00:00:00"/>
    <n v="1"/>
    <x v="0"/>
    <n v="1"/>
    <n v="487"/>
    <n v="1"/>
    <s v="0hour11min"/>
    <n v="7.6388888888888886E-3"/>
  </r>
  <r>
    <d v="2023-05-05T00:00:00"/>
    <n v="1"/>
    <x v="0"/>
    <n v="3"/>
    <n v="570"/>
    <n v="1"/>
    <s v="2hour12min"/>
    <n v="9.166666666666666E-2"/>
  </r>
  <r>
    <d v="2023-05-06T00:00:00"/>
    <n v="1"/>
    <x v="0"/>
    <n v="3"/>
    <n v="1156"/>
    <n v="1"/>
    <s v="0hour33min"/>
    <n v="2.2916666666666665E-2"/>
  </r>
  <r>
    <d v="2023-05-09T00:00:00"/>
    <n v="3"/>
    <x v="2"/>
    <n v="6"/>
    <n v="2209"/>
    <n v="3"/>
    <s v="15hour34min"/>
    <n v="0.64861111111111114"/>
  </r>
  <r>
    <d v="2023-05-10T00:00:00"/>
    <n v="1"/>
    <x v="0"/>
    <n v="1"/>
    <n v="738"/>
    <n v="1"/>
    <s v="1hour20min"/>
    <n v="5.5555555555555552E-2"/>
  </r>
  <r>
    <d v="2023-05-11T00:00:00"/>
    <n v="2"/>
    <x v="1"/>
    <n v="4"/>
    <n v="1778"/>
    <n v="2"/>
    <s v="1hour39min"/>
    <n v="6.8750000000000006E-2"/>
  </r>
  <r>
    <d v="2023-05-15T00:00:00"/>
    <n v="2"/>
    <x v="0"/>
    <n v="3"/>
    <n v="1665"/>
    <n v="2"/>
    <s v="2hour15min"/>
    <n v="9.375E-2"/>
  </r>
  <r>
    <d v="2023-05-16T00:00:00"/>
    <n v="2"/>
    <x v="1"/>
    <n v="7"/>
    <n v="1815"/>
    <n v="2"/>
    <s v="9hour0min"/>
    <n v="0.375"/>
  </r>
  <r>
    <d v="2023-05-17T00:00:00"/>
    <n v="1"/>
    <x v="0"/>
    <n v="2"/>
    <n v="615"/>
    <n v="1"/>
    <s v="8hour40min"/>
    <n v="0.3611111111111111"/>
  </r>
  <r>
    <d v="2023-05-19T00:00:00"/>
    <n v="1"/>
    <x v="0"/>
    <n v="1"/>
    <n v="120"/>
    <n v="1"/>
    <s v="0hour16min"/>
    <n v="1.1111111111111112E-2"/>
  </r>
  <r>
    <d v="2023-05-21T00:00:00"/>
    <n v="1"/>
    <x v="0"/>
    <n v="1"/>
    <n v="515"/>
    <n v="1"/>
    <s v="0hour31min"/>
    <n v="2.1527777777777778E-2"/>
  </r>
  <r>
    <d v="2023-05-28T00:00:00"/>
    <n v="1"/>
    <x v="0"/>
    <n v="2"/>
    <n v="376"/>
    <n v="1"/>
    <s v="2hour2min"/>
    <n v="8.4722222222222227E-2"/>
  </r>
  <r>
    <d v="2023-06-02T00:00:00"/>
    <n v="1"/>
    <x v="0"/>
    <n v="5"/>
    <n v="2081"/>
    <n v="1"/>
    <s v="1hour5min"/>
    <n v="4.5138888888888888E-2"/>
  </r>
  <r>
    <d v="2023-06-03T00:00:00"/>
    <n v="1"/>
    <x v="0"/>
    <n v="1"/>
    <n v="302"/>
    <n v="1"/>
    <s v="0hour31min"/>
    <n v="2.1527777777777778E-2"/>
  </r>
  <r>
    <d v="2023-06-07T00:00:00"/>
    <n v="1"/>
    <x v="0"/>
    <n v="1"/>
    <n v="401"/>
    <n v="1"/>
    <s v="0hour29min"/>
    <n v="2.013888888888889E-2"/>
  </r>
  <r>
    <d v="2023-06-09T00:00:00"/>
    <n v="1"/>
    <x v="0"/>
    <n v="3"/>
    <n v="1259"/>
    <n v="1"/>
    <s v="0hour54min"/>
    <n v="3.7499999999999999E-2"/>
  </r>
  <r>
    <d v="2023-06-13T00:00:00"/>
    <n v="3"/>
    <x v="1"/>
    <n v="7"/>
    <n v="2895"/>
    <n v="3"/>
    <s v="38hour23min"/>
    <n v="0.59930555555555554"/>
  </r>
  <r>
    <d v="2023-06-15T00:00:00"/>
    <n v="1"/>
    <x v="0"/>
    <n v="2"/>
    <n v="492"/>
    <n v="1"/>
    <s v="0hour28min"/>
    <n v="1.9444444444444445E-2"/>
  </r>
  <r>
    <d v="2023-06-18T00:00:00"/>
    <n v="1"/>
    <x v="0"/>
    <n v="1"/>
    <n v="567"/>
    <n v="1"/>
    <s v="5hour7min"/>
    <n v="0.21319444444444444"/>
  </r>
  <r>
    <d v="2023-06-23T00:00:00"/>
    <n v="1"/>
    <x v="0"/>
    <n v="3"/>
    <n v="1146"/>
    <n v="1"/>
    <s v="2hour18min"/>
    <n v="9.583333333333334E-2"/>
  </r>
  <r>
    <d v="2023-06-24T00:00:00"/>
    <n v="1"/>
    <x v="0"/>
    <n v="2"/>
    <n v="494"/>
    <n v="1"/>
    <s v="0hour40min"/>
    <n v="2.7777777777777776E-2"/>
  </r>
  <r>
    <d v="2023-06-25T00:00:00"/>
    <n v="1"/>
    <x v="0"/>
    <n v="3"/>
    <n v="1195"/>
    <n v="1"/>
    <s v="13hour9min"/>
    <n v="0.54791666666666672"/>
  </r>
  <r>
    <d v="2023-06-26T00:00:00"/>
    <n v="1"/>
    <x v="0"/>
    <n v="1"/>
    <n v="460"/>
    <n v="1"/>
    <s v="1hour0min"/>
    <n v="4.1666666666666664E-2"/>
  </r>
  <r>
    <d v="2023-06-30T00:00:00"/>
    <n v="1"/>
    <x v="0"/>
    <n v="4"/>
    <n v="771"/>
    <n v="1"/>
    <s v="4hour32min"/>
    <n v="0.18888888888888888"/>
  </r>
  <r>
    <d v="2023-07-01T00:00:00"/>
    <n v="1"/>
    <x v="0"/>
    <n v="6"/>
    <n v="2783"/>
    <n v="1"/>
    <s v="46hour42min"/>
    <n v="0.9458333333333333"/>
  </r>
  <r>
    <d v="2023-07-02T00:00:00"/>
    <n v="2"/>
    <x v="1"/>
    <n v="5"/>
    <n v="1394"/>
    <n v="2"/>
    <s v="15hour59min"/>
    <n v="0.66597222222222219"/>
  </r>
  <r>
    <d v="2023-07-06T00:00:00"/>
    <n v="1"/>
    <x v="0"/>
    <n v="3"/>
    <n v="1256"/>
    <n v="1"/>
    <s v="1hour6min"/>
    <n v="4.583333333333333E-2"/>
  </r>
  <r>
    <d v="2023-07-07T00:00:00"/>
    <n v="1"/>
    <x v="0"/>
    <n v="2"/>
    <n v="659"/>
    <n v="1"/>
    <s v="3hour44min"/>
    <n v="0.15555555555555556"/>
  </r>
  <r>
    <d v="2023-07-08T00:00:00"/>
    <n v="1"/>
    <x v="0"/>
    <n v="4"/>
    <n v="1662"/>
    <n v="1"/>
    <s v="2hour40min"/>
    <n v="0.1111111111111111"/>
  </r>
  <r>
    <d v="2023-07-10T00:00:00"/>
    <n v="1"/>
    <x v="0"/>
    <n v="4"/>
    <n v="1856"/>
    <n v="1"/>
    <s v="31hour16min"/>
    <n v="0.30277777777777781"/>
  </r>
  <r>
    <d v="2023-07-11T00:00:00"/>
    <n v="1"/>
    <x v="0"/>
    <n v="3"/>
    <n v="761"/>
    <n v="1"/>
    <s v="5hour24min"/>
    <n v="0.22500000000000001"/>
  </r>
  <r>
    <d v="2023-07-15T00:00:00"/>
    <n v="1"/>
    <x v="0"/>
    <n v="1"/>
    <n v="378"/>
    <n v="1"/>
    <s v="0hour38min"/>
    <n v="2.6388888888888889E-2"/>
  </r>
  <r>
    <d v="2023-07-17T00:00:00"/>
    <n v="1"/>
    <x v="0"/>
    <n v="5"/>
    <n v="1450"/>
    <n v="1"/>
    <s v="9hour45min"/>
    <n v="0.40625"/>
  </r>
  <r>
    <d v="2023-07-19T00:00:00"/>
    <n v="1"/>
    <x v="0"/>
    <n v="3"/>
    <n v="960"/>
    <n v="1"/>
    <s v="5hour9min"/>
    <n v="0.21458333333333332"/>
  </r>
  <r>
    <d v="2023-07-21T00:00:00"/>
    <n v="1"/>
    <x v="0"/>
    <n v="5"/>
    <n v="2258"/>
    <n v="1"/>
    <s v="1hour30min"/>
    <n v="6.25E-2"/>
  </r>
  <r>
    <d v="2023-07-23T00:00:00"/>
    <n v="1"/>
    <x v="0"/>
    <n v="5"/>
    <n v="1701"/>
    <n v="1"/>
    <s v="1hour55min"/>
    <n v="7.9861111111111105E-2"/>
  </r>
  <r>
    <d v="2023-07-26T00:00:00"/>
    <n v="1"/>
    <x v="0"/>
    <n v="2"/>
    <n v="694"/>
    <n v="1"/>
    <s v="3hour4min"/>
    <n v="0.12777777777777777"/>
  </r>
  <r>
    <d v="2023-07-27T00:00:00"/>
    <n v="2"/>
    <x v="1"/>
    <n v="8"/>
    <n v="2815"/>
    <n v="2"/>
    <s v="8hour15min"/>
    <n v="0.34375"/>
  </r>
  <r>
    <d v="2023-07-30T00:00:00"/>
    <n v="1"/>
    <x v="0"/>
    <n v="1"/>
    <n v="279"/>
    <n v="1"/>
    <s v="0hour18min"/>
    <n v="1.2500000000000001E-2"/>
  </r>
  <r>
    <d v="2023-07-31T00:00:00"/>
    <n v="1"/>
    <x v="0"/>
    <n v="1"/>
    <n v="243"/>
    <n v="1"/>
    <s v="2hour38min"/>
    <n v="0.10972222222222222"/>
  </r>
  <r>
    <d v="2023-08-02T00:00:00"/>
    <n v="1"/>
    <x v="0"/>
    <n v="2"/>
    <n v="630"/>
    <n v="1"/>
    <s v="3hour26min"/>
    <n v="0.14305555555555555"/>
  </r>
  <r>
    <d v="2023-08-05T00:00:00"/>
    <n v="1"/>
    <x v="0"/>
    <n v="1"/>
    <n v="336"/>
    <n v="1"/>
    <s v="1hour42min"/>
    <n v="7.0833333333333331E-2"/>
  </r>
  <r>
    <d v="2023-08-07T00:00:00"/>
    <n v="1"/>
    <x v="0"/>
    <n v="4"/>
    <n v="1548"/>
    <n v="1"/>
    <s v="0hour28min"/>
    <n v="1.9444444444444445E-2"/>
  </r>
  <r>
    <d v="2023-08-08T00:00:00"/>
    <n v="1"/>
    <x v="0"/>
    <n v="4"/>
    <n v="1456"/>
    <n v="1"/>
    <s v="19hour52min"/>
    <n v="0.82777777777777772"/>
  </r>
  <r>
    <d v="2023-08-09T00:00:00"/>
    <n v="3"/>
    <x v="2"/>
    <n v="5"/>
    <n v="1483"/>
    <n v="3"/>
    <s v="4hour53min"/>
    <n v="0.20347222222222222"/>
  </r>
  <r>
    <d v="2023-08-10T00:00:00"/>
    <n v="1"/>
    <x v="0"/>
    <n v="1"/>
    <n v="553"/>
    <n v="1"/>
    <s v="4hour41min"/>
    <n v="0.19513888888888889"/>
  </r>
  <r>
    <d v="2023-08-11T00:00:00"/>
    <n v="1"/>
    <x v="0"/>
    <n v="1"/>
    <n v="676"/>
    <n v="1"/>
    <s v="0hour28min"/>
    <n v="1.9444444444444445E-2"/>
  </r>
  <r>
    <d v="2023-08-12T00:00:00"/>
    <n v="1"/>
    <x v="0"/>
    <n v="2"/>
    <n v="904"/>
    <n v="1"/>
    <s v="1hour16min"/>
    <n v="5.2777777777777778E-2"/>
  </r>
  <r>
    <d v="2023-08-13T00:00:00"/>
    <n v="1"/>
    <x v="0"/>
    <n v="2"/>
    <n v="696"/>
    <n v="1"/>
    <s v="3hour16min"/>
    <n v="0.1361111111111111"/>
  </r>
  <r>
    <d v="2023-08-14T00:00:00"/>
    <n v="3"/>
    <x v="2"/>
    <n v="7"/>
    <n v="2838"/>
    <n v="3"/>
    <s v="8hour38min"/>
    <n v="0.35972222222222222"/>
  </r>
  <r>
    <d v="2023-08-15T00:00:00"/>
    <n v="1"/>
    <x v="0"/>
    <n v="3"/>
    <n v="1566"/>
    <n v="1"/>
    <s v="2hour39min"/>
    <n v="0.11041666666666666"/>
  </r>
  <r>
    <d v="2023-08-16T00:00:00"/>
    <n v="1"/>
    <x v="0"/>
    <n v="3"/>
    <n v="593"/>
    <n v="1"/>
    <s v="1hour21min"/>
    <n v="5.6250000000000001E-2"/>
  </r>
  <r>
    <d v="2023-08-17T00:00:00"/>
    <n v="2"/>
    <x v="1"/>
    <n v="4"/>
    <n v="1731"/>
    <n v="2"/>
    <s v="6hour24min"/>
    <n v="0.26666666666666666"/>
  </r>
  <r>
    <d v="2023-08-18T00:00:00"/>
    <n v="1"/>
    <x v="0"/>
    <n v="2"/>
    <n v="693"/>
    <n v="1"/>
    <s v="10hour48min"/>
    <n v="0.45"/>
  </r>
  <r>
    <d v="2023-08-19T00:00:00"/>
    <n v="1"/>
    <x v="0"/>
    <n v="2"/>
    <n v="685"/>
    <n v="1"/>
    <s v="1hour34min"/>
    <n v="6.5277777777777782E-2"/>
  </r>
  <r>
    <d v="2023-08-20T00:00:00"/>
    <n v="1"/>
    <x v="0"/>
    <n v="2"/>
    <n v="1040"/>
    <n v="1"/>
    <s v="1hour50min"/>
    <n v="7.6388888888888895E-2"/>
  </r>
  <r>
    <d v="2023-08-21T00:00:00"/>
    <n v="2"/>
    <x v="1"/>
    <n v="8"/>
    <n v="3328"/>
    <n v="2"/>
    <s v="3hour12min"/>
    <n v="0.13333333333333333"/>
  </r>
  <r>
    <d v="2023-08-24T00:00:00"/>
    <n v="1"/>
    <x v="0"/>
    <n v="2"/>
    <n v="555"/>
    <n v="1"/>
    <s v="0hour42min"/>
    <n v="2.9166666666666667E-2"/>
  </r>
  <r>
    <d v="2023-08-28T00:00:00"/>
    <n v="3"/>
    <x v="2"/>
    <n v="7"/>
    <n v="1586"/>
    <n v="3"/>
    <s v="10hour36min"/>
    <n v="0.44166666666666665"/>
  </r>
  <r>
    <d v="2023-08-30T00:00:00"/>
    <n v="1"/>
    <x v="0"/>
    <n v="1"/>
    <n v="486"/>
    <n v="1"/>
    <s v="0hour6min"/>
    <n v="4.1666666666666666E-3"/>
  </r>
  <r>
    <d v="2023-09-01T00:00:00"/>
    <n v="2"/>
    <x v="1"/>
    <n v="7"/>
    <n v="2514"/>
    <n v="2"/>
    <s v="2hour4min"/>
    <n v="8.611111111111111E-2"/>
  </r>
  <r>
    <d v="2023-09-02T00:00:00"/>
    <n v="2"/>
    <x v="1"/>
    <n v="7"/>
    <n v="2355"/>
    <n v="2"/>
    <s v="2hour4min"/>
    <n v="8.611111111111111E-2"/>
  </r>
  <r>
    <d v="2023-09-03T00:00:00"/>
    <n v="1"/>
    <x v="0"/>
    <n v="1"/>
    <n v="301"/>
    <n v="1"/>
    <s v="3hour23min"/>
    <n v="0.14097222222222222"/>
  </r>
  <r>
    <d v="2023-09-04T00:00:00"/>
    <n v="2"/>
    <x v="1"/>
    <n v="5"/>
    <n v="2088"/>
    <n v="2"/>
    <s v="2hour47min"/>
    <n v="0.11597222222222223"/>
  </r>
  <r>
    <d v="2023-09-05T00:00:00"/>
    <n v="1"/>
    <x v="0"/>
    <n v="3"/>
    <n v="1492"/>
    <n v="1"/>
    <s v="1hour15min"/>
    <n v="5.2083333333333336E-2"/>
  </r>
  <r>
    <d v="2023-09-06T00:00:00"/>
    <n v="1"/>
    <x v="0"/>
    <n v="1"/>
    <n v="184"/>
    <n v="1"/>
    <s v="0hour55min"/>
    <n v="3.8194444444444448E-2"/>
  </r>
  <r>
    <d v="2023-09-09T00:00:00"/>
    <n v="1"/>
    <x v="0"/>
    <n v="5"/>
    <n v="1764"/>
    <n v="1"/>
    <s v="8hour0min"/>
    <n v="0.33333333333333331"/>
  </r>
  <r>
    <d v="2023-09-10T00:00:00"/>
    <n v="1"/>
    <x v="0"/>
    <n v="2"/>
    <n v="492"/>
    <n v="1"/>
    <s v="0hour42min"/>
    <n v="2.9166666666666667E-2"/>
  </r>
  <r>
    <d v="2023-09-11T00:00:00"/>
    <n v="2"/>
    <x v="1"/>
    <n v="3"/>
    <n v="1186"/>
    <n v="2"/>
    <s v="5hour43min"/>
    <n v="0.23819444444444443"/>
  </r>
  <r>
    <d v="2023-09-13T00:00:00"/>
    <n v="1"/>
    <x v="0"/>
    <n v="3"/>
    <n v="646"/>
    <n v="1"/>
    <s v="16hour18min"/>
    <n v="0.6791666666666667"/>
  </r>
  <r>
    <d v="2023-09-16T00:00:00"/>
    <n v="1"/>
    <x v="0"/>
    <n v="4"/>
    <n v="865"/>
    <n v="1"/>
    <s v="6hour56min"/>
    <n v="0.28888888888888886"/>
  </r>
  <r>
    <d v="2023-09-17T00:00:00"/>
    <n v="2"/>
    <x v="1"/>
    <n v="5"/>
    <n v="2118"/>
    <n v="2"/>
    <s v="1hour53min"/>
    <n v="7.8472222222222221E-2"/>
  </r>
  <r>
    <d v="2023-09-18T00:00:00"/>
    <n v="1"/>
    <x v="0"/>
    <n v="5"/>
    <n v="1704"/>
    <n v="1"/>
    <s v="7hour55min"/>
    <n v="0.3298611111111111"/>
  </r>
  <r>
    <d v="2023-09-19T00:00:00"/>
    <n v="3"/>
    <x v="1"/>
    <n v="8"/>
    <n v="3498"/>
    <n v="3"/>
    <s v="2hour8min"/>
    <n v="8.8888888888888892E-2"/>
  </r>
  <r>
    <d v="2023-09-20T00:00:00"/>
    <n v="1"/>
    <x v="0"/>
    <n v="1"/>
    <n v="522"/>
    <n v="1"/>
    <s v="0hour12min"/>
    <n v="8.3333333333333332E-3"/>
  </r>
  <r>
    <d v="2023-09-22T00:00:00"/>
    <n v="1"/>
    <x v="0"/>
    <n v="2"/>
    <n v="1212"/>
    <n v="1"/>
    <s v="3hour50min"/>
    <n v="0.15972222222222221"/>
  </r>
  <r>
    <d v="2023-09-23T00:00:00"/>
    <n v="1"/>
    <x v="0"/>
    <n v="3"/>
    <n v="1032"/>
    <n v="1"/>
    <s v="2hour24min"/>
    <n v="0.1"/>
  </r>
  <r>
    <d v="2023-09-24T00:00:00"/>
    <n v="1"/>
    <x v="0"/>
    <n v="4"/>
    <n v="1408"/>
    <n v="1"/>
    <s v="1hour16min"/>
    <n v="5.2777777777777778E-2"/>
  </r>
  <r>
    <d v="2023-09-25T00:00:00"/>
    <n v="1"/>
    <x v="0"/>
    <n v="3"/>
    <n v="1333"/>
    <n v="1"/>
    <s v="1hour27min"/>
    <n v="6.0416666666666667E-2"/>
  </r>
  <r>
    <d v="2023-09-26T00:00:00"/>
    <n v="1"/>
    <x v="0"/>
    <n v="2"/>
    <n v="669"/>
    <n v="1"/>
    <s v="1hour28min"/>
    <n v="6.1111111111111109E-2"/>
  </r>
  <r>
    <d v="2023-09-27T00:00:00"/>
    <n v="1"/>
    <x v="0"/>
    <n v="3"/>
    <n v="1482"/>
    <n v="1"/>
    <s v="5hour3min"/>
    <n v="0.21041666666666667"/>
  </r>
  <r>
    <d v="2023-09-28T00:00:00"/>
    <n v="2"/>
    <x v="1"/>
    <n v="4"/>
    <n v="1310"/>
    <n v="2"/>
    <s v="11hour20min"/>
    <n v="0.47222222222222221"/>
  </r>
  <r>
    <d v="2023-09-29T00:00:00"/>
    <n v="1"/>
    <x v="0"/>
    <n v="1"/>
    <n v="271"/>
    <n v="1"/>
    <s v="1hour12min"/>
    <n v="0.05"/>
  </r>
  <r>
    <d v="2023-09-30T00:00:00"/>
    <n v="3"/>
    <x v="2"/>
    <n v="7"/>
    <n v="3126"/>
    <n v="3"/>
    <s v="9hour53min"/>
    <n v="0.41180555555555554"/>
  </r>
  <r>
    <d v="2023-10-01T00:00:00"/>
    <n v="2"/>
    <x v="1"/>
    <n v="8"/>
    <n v="3458"/>
    <n v="2"/>
    <s v="8hour2min"/>
    <n v="0.3347222222222222"/>
  </r>
  <r>
    <d v="2023-10-02T00:00:00"/>
    <n v="1"/>
    <x v="0"/>
    <n v="7"/>
    <n v="2512"/>
    <n v="1"/>
    <s v="3hour9min"/>
    <n v="0.13125000000000001"/>
  </r>
  <r>
    <d v="2023-10-04T00:00:00"/>
    <n v="2"/>
    <x v="0"/>
    <n v="5"/>
    <n v="2466"/>
    <n v="2"/>
    <s v="13hour59min"/>
    <n v="0.58263888888888893"/>
  </r>
  <r>
    <d v="2023-10-05T00:00:00"/>
    <n v="3"/>
    <x v="2"/>
    <n v="7"/>
    <n v="2503"/>
    <n v="3"/>
    <s v="9hour19min"/>
    <n v="0.38819444444444445"/>
  </r>
  <r>
    <d v="2023-10-07T00:00:00"/>
    <n v="3"/>
    <x v="1"/>
    <n v="7"/>
    <n v="2667"/>
    <n v="3"/>
    <s v="6hour28min"/>
    <n v="0.26944444444444443"/>
  </r>
  <r>
    <d v="2023-10-08T00:00:00"/>
    <n v="2"/>
    <x v="1"/>
    <n v="7"/>
    <n v="3174"/>
    <n v="2"/>
    <s v="8hour48min"/>
    <n v="0.36666666666666664"/>
  </r>
  <r>
    <d v="2023-10-10T00:00:00"/>
    <n v="2"/>
    <x v="1"/>
    <n v="8"/>
    <n v="2671"/>
    <n v="2"/>
    <s v="47hour44min"/>
    <n v="0.98888888888888893"/>
  </r>
  <r>
    <d v="2023-10-12T00:00:00"/>
    <n v="1"/>
    <x v="0"/>
    <n v="5"/>
    <n v="2017"/>
    <n v="1"/>
    <s v="2hour15min"/>
    <n v="9.375E-2"/>
  </r>
  <r>
    <d v="2023-10-13T00:00:00"/>
    <n v="1"/>
    <x v="0"/>
    <n v="2"/>
    <n v="989"/>
    <n v="1"/>
    <s v="0hour26min"/>
    <n v="1.8055555555555554E-2"/>
  </r>
  <r>
    <d v="2023-10-15T00:00:00"/>
    <n v="1"/>
    <x v="0"/>
    <n v="3"/>
    <n v="917"/>
    <n v="1"/>
    <s v="21hour45min"/>
    <n v="0.90625"/>
  </r>
  <r>
    <d v="2023-10-18T00:00:00"/>
    <n v="1"/>
    <x v="0"/>
    <n v="2"/>
    <n v="540"/>
    <n v="1"/>
    <s v="0hour42min"/>
    <n v="2.9166666666666667E-2"/>
  </r>
  <r>
    <d v="2023-10-19T00:00:00"/>
    <n v="2"/>
    <x v="1"/>
    <n v="5"/>
    <n v="2574"/>
    <n v="2"/>
    <s v="13hour0min"/>
    <n v="0.54166666666666663"/>
  </r>
  <r>
    <d v="2023-10-21T00:00:00"/>
    <n v="3"/>
    <x v="2"/>
    <n v="9"/>
    <n v="2708"/>
    <n v="3"/>
    <s v="52hour26min"/>
    <n v="0.18472222222222223"/>
  </r>
  <r>
    <d v="2023-10-22T00:00:00"/>
    <n v="1"/>
    <x v="0"/>
    <n v="1"/>
    <n v="171"/>
    <n v="1"/>
    <s v="3hour16min"/>
    <n v="0.1361111111111111"/>
  </r>
  <r>
    <d v="2023-10-23T00:00:00"/>
    <n v="1"/>
    <x v="0"/>
    <n v="2"/>
    <n v="632"/>
    <n v="1"/>
    <s v="10hour0min"/>
    <n v="0.41666666666666669"/>
  </r>
  <r>
    <d v="2023-10-24T00:00:00"/>
    <n v="3"/>
    <x v="2"/>
    <n v="8"/>
    <n v="3252"/>
    <n v="3"/>
    <s v="3hour26min"/>
    <n v="0.14305555555555555"/>
  </r>
  <r>
    <d v="2023-10-25T00:00:00"/>
    <n v="1"/>
    <x v="0"/>
    <n v="2"/>
    <n v="1056"/>
    <n v="1"/>
    <s v="12hour36min"/>
    <n v="0.52500000000000002"/>
  </r>
  <r>
    <d v="2023-10-26T00:00:00"/>
    <n v="2"/>
    <x v="1"/>
    <n v="7"/>
    <n v="2604"/>
    <n v="2"/>
    <s v="13hour7min"/>
    <n v="0.54652777777777772"/>
  </r>
  <r>
    <d v="2023-10-28T00:00:00"/>
    <n v="1"/>
    <x v="0"/>
    <n v="3"/>
    <n v="1276"/>
    <n v="1"/>
    <s v="0hour30min"/>
    <n v="2.0833333333333332E-2"/>
  </r>
  <r>
    <d v="2023-10-29T00:00:00"/>
    <n v="1"/>
    <x v="0"/>
    <n v="2"/>
    <n v="1026"/>
    <n v="1"/>
    <s v="2hour46min"/>
    <n v="0.11527777777777778"/>
  </r>
  <r>
    <d v="2023-10-30T00:00:00"/>
    <n v="1"/>
    <x v="0"/>
    <n v="3"/>
    <n v="1593"/>
    <n v="1"/>
    <s v="0hour54min"/>
    <n v="3.7499999999999999E-2"/>
  </r>
  <r>
    <d v="2023-10-31T00:00:00"/>
    <n v="1"/>
    <x v="0"/>
    <n v="3"/>
    <n v="1324"/>
    <n v="1"/>
    <s v="19hour0min"/>
    <n v="0.79166666666666663"/>
  </r>
  <r>
    <d v="2023-11-01T00:00:00"/>
    <n v="4"/>
    <x v="3"/>
    <n v="13"/>
    <n v="5303"/>
    <n v="4"/>
    <s v="15hour2min"/>
    <n v="0.62638888888888888"/>
  </r>
  <r>
    <d v="2023-11-02T00:00:00"/>
    <n v="4"/>
    <x v="2"/>
    <n v="6"/>
    <n v="1872"/>
    <n v="4"/>
    <s v="7hour45min"/>
    <n v="0.32291666666666669"/>
  </r>
  <r>
    <d v="2023-11-03T00:00:00"/>
    <n v="3"/>
    <x v="1"/>
    <n v="9"/>
    <n v="4111"/>
    <n v="3"/>
    <s v="27hour51min"/>
    <n v="0.16041666666666665"/>
  </r>
  <r>
    <d v="2023-11-04T00:00:00"/>
    <n v="2"/>
    <x v="1"/>
    <n v="4"/>
    <n v="1882"/>
    <n v="2"/>
    <s v="2hour24min"/>
    <n v="0.1"/>
  </r>
  <r>
    <d v="2023-11-07T00:00:00"/>
    <n v="3"/>
    <x v="2"/>
    <n v="5"/>
    <n v="1725"/>
    <n v="3"/>
    <s v="17hour24min"/>
    <n v="0.72499999999999998"/>
  </r>
  <r>
    <d v="2023-11-09T00:00:00"/>
    <n v="1"/>
    <x v="0"/>
    <n v="2"/>
    <n v="715"/>
    <n v="1"/>
    <s v="0hour54min"/>
    <n v="3.7499999999999999E-2"/>
  </r>
  <r>
    <d v="2023-11-10T00:00:00"/>
    <n v="2"/>
    <x v="1"/>
    <n v="6"/>
    <n v="1671"/>
    <n v="2"/>
    <s v="7hour21min"/>
    <n v="0.30625000000000002"/>
  </r>
  <r>
    <d v="2023-11-11T00:00:00"/>
    <n v="1"/>
    <x v="0"/>
    <n v="1"/>
    <n v="201"/>
    <n v="1"/>
    <s v="1hour4min"/>
    <n v="4.4444444444444446E-2"/>
  </r>
  <r>
    <d v="2023-11-13T00:00:00"/>
    <n v="2"/>
    <x v="1"/>
    <n v="7"/>
    <n v="3069"/>
    <n v="2"/>
    <s v="5hour33min"/>
    <n v="0.23125000000000001"/>
  </r>
  <r>
    <d v="2023-11-14T00:00:00"/>
    <n v="4"/>
    <x v="3"/>
    <n v="12"/>
    <n v="4638"/>
    <n v="4"/>
    <s v="21hour9min"/>
    <n v="0.88124999999999998"/>
  </r>
  <r>
    <d v="2023-11-15T00:00:00"/>
    <n v="1"/>
    <x v="0"/>
    <n v="3"/>
    <n v="807"/>
    <n v="1"/>
    <s v="3hour15min"/>
    <n v="0.13541666666666666"/>
  </r>
  <r>
    <d v="2023-11-17T00:00:00"/>
    <n v="1"/>
    <x v="0"/>
    <n v="3"/>
    <n v="680"/>
    <n v="1"/>
    <s v="1hour6min"/>
    <n v="4.583333333333333E-2"/>
  </r>
  <r>
    <d v="2023-11-18T00:00:00"/>
    <n v="2"/>
    <x v="0"/>
    <n v="4"/>
    <n v="1662"/>
    <n v="2"/>
    <s v="7hour44min"/>
    <n v="0.32222222222222224"/>
  </r>
  <r>
    <d v="2023-11-19T00:00:00"/>
    <n v="3"/>
    <x v="2"/>
    <n v="4"/>
    <n v="1296"/>
    <n v="3"/>
    <s v="2hour12min"/>
    <n v="9.166666666666666E-2"/>
  </r>
  <r>
    <d v="2023-11-20T00:00:00"/>
    <n v="2"/>
    <x v="0"/>
    <n v="3"/>
    <n v="665"/>
    <n v="2"/>
    <s v="3hour7min"/>
    <n v="0.12986111111111112"/>
  </r>
  <r>
    <d v="2023-11-21T00:00:00"/>
    <n v="1"/>
    <x v="0"/>
    <n v="2"/>
    <n v="746"/>
    <n v="1"/>
    <s v="3hour32min"/>
    <n v="0.14722222222222223"/>
  </r>
  <r>
    <d v="2023-11-22T00:00:00"/>
    <n v="2"/>
    <x v="0"/>
    <n v="2"/>
    <n v="898"/>
    <n v="2"/>
    <s v="5hour4min"/>
    <n v="0.21111111111111111"/>
  </r>
  <r>
    <d v="2023-11-23T00:00:00"/>
    <n v="1"/>
    <x v="0"/>
    <n v="1"/>
    <n v="495"/>
    <n v="1"/>
    <s v="0hour29min"/>
    <n v="2.013888888888889E-2"/>
  </r>
  <r>
    <d v="2023-11-24T00:00:00"/>
    <n v="2"/>
    <x v="1"/>
    <n v="8"/>
    <n v="1357"/>
    <n v="2"/>
    <s v="4hour28min"/>
    <n v="0.18611111111111112"/>
  </r>
  <r>
    <d v="2023-11-25T00:00:00"/>
    <n v="1"/>
    <x v="0"/>
    <n v="1"/>
    <n v="103"/>
    <n v="1"/>
    <s v="1hour36min"/>
    <n v="6.6666666666666666E-2"/>
  </r>
  <r>
    <d v="2023-11-26T00:00:00"/>
    <n v="1"/>
    <x v="0"/>
    <n v="2"/>
    <n v="851"/>
    <n v="1"/>
    <s v="3hour54min"/>
    <n v="0.16250000000000001"/>
  </r>
  <r>
    <d v="2023-11-28T00:00:00"/>
    <n v="1"/>
    <x v="0"/>
    <n v="2"/>
    <n v="446"/>
    <n v="1"/>
    <s v="1hour12min"/>
    <n v="0.05"/>
  </r>
  <r>
    <d v="2023-11-29T00:00:00"/>
    <n v="3"/>
    <x v="2"/>
    <n v="6"/>
    <n v="2488"/>
    <n v="3"/>
    <s v="16hour33min"/>
    <n v="0.68958333333333333"/>
  </r>
  <r>
    <d v="2023-11-30T00:00:00"/>
    <n v="1"/>
    <x v="0"/>
    <n v="2"/>
    <n v="402"/>
    <n v="1"/>
    <s v="0hour42min"/>
    <n v="2.9166666666666667E-2"/>
  </r>
  <r>
    <d v="2023-12-01T00:00:00"/>
    <n v="2"/>
    <x v="1"/>
    <n v="5"/>
    <n v="2120"/>
    <n v="2"/>
    <s v="15hour6min"/>
    <n v="0.62916666666666665"/>
  </r>
  <r>
    <d v="2023-12-02T00:00:00"/>
    <n v="1"/>
    <x v="0"/>
    <n v="3"/>
    <n v="1349"/>
    <n v="1"/>
    <s v="0hour30min"/>
    <n v="2.0833333333333332E-2"/>
  </r>
  <r>
    <d v="2023-12-03T00:00:00"/>
    <n v="2"/>
    <x v="1"/>
    <n v="9"/>
    <n v="3292"/>
    <n v="2"/>
    <s v="26hour11min"/>
    <n v="9.0972222222222232E-2"/>
  </r>
  <r>
    <d v="2023-12-05T00:00:00"/>
    <n v="2"/>
    <x v="1"/>
    <n v="3"/>
    <n v="1071"/>
    <n v="2"/>
    <s v="1hour55min"/>
    <n v="7.9861111111111105E-2"/>
  </r>
  <r>
    <d v="2023-12-06T00:00:00"/>
    <n v="1"/>
    <x v="0"/>
    <n v="3"/>
    <n v="1324"/>
    <n v="1"/>
    <s v="0hour54min"/>
    <n v="3.7499999999999999E-2"/>
  </r>
  <r>
    <d v="2023-12-09T00:00:00"/>
    <n v="2"/>
    <x v="1"/>
    <n v="4"/>
    <n v="1174"/>
    <n v="2"/>
    <s v="5hour2min"/>
    <n v="0.20972222222222223"/>
  </r>
  <r>
    <d v="2023-12-10T00:00:00"/>
    <n v="2"/>
    <x v="1"/>
    <n v="4"/>
    <n v="1437"/>
    <n v="2"/>
    <s v="3hour0min"/>
    <n v="0.125"/>
  </r>
  <r>
    <d v="2023-12-11T00:00:00"/>
    <n v="1"/>
    <x v="0"/>
    <n v="2"/>
    <n v="400"/>
    <n v="1"/>
    <s v="4hour0min"/>
    <n v="0.16666666666666666"/>
  </r>
  <r>
    <d v="2023-12-13T00:00:00"/>
    <n v="1"/>
    <x v="0"/>
    <n v="3"/>
    <n v="1188"/>
    <n v="1"/>
    <s v="0hour42min"/>
    <n v="2.9166666666666667E-2"/>
  </r>
  <r>
    <d v="2023-12-14T00:00:00"/>
    <n v="1"/>
    <x v="0"/>
    <n v="1"/>
    <n v="723"/>
    <n v="1"/>
    <s v="5hour29min"/>
    <n v="0.22847222222222222"/>
  </r>
  <r>
    <d v="2023-12-15T00:00:00"/>
    <n v="1"/>
    <x v="0"/>
    <n v="2"/>
    <n v="411"/>
    <n v="1"/>
    <s v="0hour52min"/>
    <n v="3.6111111111111108E-2"/>
  </r>
  <r>
    <d v="2023-12-16T00:00:00"/>
    <n v="3"/>
    <x v="1"/>
    <n v="9"/>
    <n v="3885"/>
    <n v="3"/>
    <s v="6hour14min"/>
    <n v="0.25972222222222224"/>
  </r>
  <r>
    <d v="2023-12-18T00:00:00"/>
    <n v="1"/>
    <x v="0"/>
    <n v="3"/>
    <n v="1250"/>
    <n v="1"/>
    <s v="3hour42min"/>
    <n v="0.15416666666666667"/>
  </r>
  <r>
    <d v="2023-12-19T00:00:00"/>
    <n v="2"/>
    <x v="1"/>
    <n v="7"/>
    <n v="2051"/>
    <n v="2"/>
    <s v="2hour43min"/>
    <n v="0.11319444444444444"/>
  </r>
  <r>
    <d v="2023-12-21T00:00:00"/>
    <n v="2"/>
    <x v="1"/>
    <n v="7"/>
    <n v="2223"/>
    <n v="2"/>
    <s v="8hour26min"/>
    <n v="0.35138888888888886"/>
  </r>
  <r>
    <d v="2023-12-22T00:00:00"/>
    <n v="3"/>
    <x v="1"/>
    <n v="10"/>
    <n v="3661"/>
    <n v="3"/>
    <s v="5hour12min"/>
    <n v="0.21666666666666667"/>
  </r>
  <r>
    <d v="2023-12-23T00:00:00"/>
    <n v="1"/>
    <x v="0"/>
    <n v="1"/>
    <n v="577"/>
    <n v="1"/>
    <s v="5hour34min"/>
    <n v="0.23194444444444445"/>
  </r>
  <r>
    <d v="2023-12-24T00:00:00"/>
    <n v="2"/>
    <x v="1"/>
    <n v="7"/>
    <n v="3353"/>
    <n v="2"/>
    <s v="3hour39min"/>
    <n v="0.15208333333333332"/>
  </r>
  <r>
    <d v="2023-12-25T00:00:00"/>
    <n v="2"/>
    <x v="1"/>
    <n v="5"/>
    <n v="2457"/>
    <n v="2"/>
    <s v="1hour7min"/>
    <n v="4.6527777777777779E-2"/>
  </r>
  <r>
    <d v="2023-12-26T00:00:00"/>
    <n v="2"/>
    <x v="1"/>
    <n v="4"/>
    <n v="1779"/>
    <n v="2"/>
    <s v="5hour54min"/>
    <n v="0.24583333333333332"/>
  </r>
  <r>
    <d v="2023-12-27T00:00:00"/>
    <n v="1"/>
    <x v="0"/>
    <n v="2"/>
    <n v="894"/>
    <n v="1"/>
    <s v="0hour40min"/>
    <n v="2.7777777777777776E-2"/>
  </r>
  <r>
    <d v="2023-12-28T00:00:00"/>
    <n v="3"/>
    <x v="2"/>
    <n v="6"/>
    <n v="1792"/>
    <n v="3"/>
    <s v="7hour28min"/>
    <n v="0.31111111111111112"/>
  </r>
  <r>
    <d v="2023-12-29T00:00:00"/>
    <n v="2"/>
    <x v="1"/>
    <n v="5"/>
    <n v="2031"/>
    <n v="2"/>
    <s v="19hour47min"/>
    <n v="0.82430555555555551"/>
  </r>
  <r>
    <d v="2023-12-30T00:00:00"/>
    <n v="4"/>
    <x v="3"/>
    <n v="9"/>
    <n v="3303"/>
    <n v="4"/>
    <s v="2hour40min"/>
    <n v="0.1111111111111111"/>
  </r>
  <r>
    <d v="2023-12-31T00:00:00"/>
    <n v="2"/>
    <x v="1"/>
    <n v="5"/>
    <n v="1301"/>
    <n v="2"/>
    <s v="6hour10min"/>
    <n v="0.25694444444444442"/>
  </r>
  <r>
    <d v="2024-01-01T00:00:00"/>
    <n v="1"/>
    <x v="0"/>
    <n v="2"/>
    <n v="658"/>
    <n v="1"/>
    <s v="2hour18min"/>
    <n v="9.583333333333334E-2"/>
  </r>
  <r>
    <d v="2024-01-02T00:00:00"/>
    <n v="3"/>
    <x v="2"/>
    <n v="5"/>
    <n v="1964"/>
    <n v="3"/>
    <s v="10hour38min"/>
    <n v="0.44305555555555554"/>
  </r>
  <r>
    <d v="2024-01-03T00:00:00"/>
    <n v="2"/>
    <x v="1"/>
    <n v="8"/>
    <n v="3054"/>
    <n v="2"/>
    <s v="5hour24min"/>
    <n v="0.22500000000000001"/>
  </r>
  <r>
    <d v="2024-01-04T00:00:00"/>
    <n v="4"/>
    <x v="2"/>
    <n v="9"/>
    <n v="2586"/>
    <n v="4"/>
    <s v="10hour21min"/>
    <n v="0.43125000000000002"/>
  </r>
  <r>
    <d v="2024-01-05T00:00:00"/>
    <n v="2"/>
    <x v="1"/>
    <n v="6"/>
    <n v="2184"/>
    <n v="2"/>
    <s v="8hour6min"/>
    <n v="0.33750000000000002"/>
  </r>
  <r>
    <d v="2024-01-07T00:00:00"/>
    <n v="1"/>
    <x v="0"/>
    <n v="1"/>
    <n v="153"/>
    <n v="1"/>
    <s v="1hour6min"/>
    <n v="4.583333333333333E-2"/>
  </r>
  <r>
    <d v="2024-01-08T00:00:00"/>
    <n v="2"/>
    <x v="1"/>
    <n v="2"/>
    <n v="590"/>
    <n v="2"/>
    <s v="1hour12min"/>
    <n v="0.05"/>
  </r>
  <r>
    <d v="2024-01-09T00:00:00"/>
    <n v="1"/>
    <x v="0"/>
    <n v="1"/>
    <n v="127"/>
    <n v="1"/>
    <s v="0hour10min"/>
    <n v="6.9444444444444441E-3"/>
  </r>
  <r>
    <d v="2024-01-10T00:00:00"/>
    <n v="4"/>
    <x v="2"/>
    <n v="10"/>
    <n v="2851"/>
    <n v="4"/>
    <s v="11hour9min"/>
    <n v="0.46458333333333335"/>
  </r>
  <r>
    <d v="2024-01-11T00:00:00"/>
    <n v="4"/>
    <x v="2"/>
    <n v="16"/>
    <n v="6362"/>
    <n v="4"/>
    <s v="37hour52min"/>
    <n v="0.57777777777777772"/>
  </r>
  <r>
    <d v="2024-01-14T00:00:00"/>
    <n v="2"/>
    <x v="1"/>
    <n v="6"/>
    <n v="2225"/>
    <n v="2"/>
    <s v="5hour8min"/>
    <n v="0.21388888888888888"/>
  </r>
  <r>
    <d v="2024-01-15T00:00:00"/>
    <n v="2"/>
    <x v="1"/>
    <n v="7"/>
    <n v="3166"/>
    <n v="2"/>
    <s v="21hour27min"/>
    <n v="0.89375000000000004"/>
  </r>
  <r>
    <d v="2024-01-16T00:00:00"/>
    <n v="1"/>
    <x v="0"/>
    <n v="4"/>
    <n v="1280"/>
    <n v="1"/>
    <s v="2hour24min"/>
    <n v="0.1"/>
  </r>
  <r>
    <d v="2024-01-17T00:00:00"/>
    <n v="2"/>
    <x v="1"/>
    <n v="6"/>
    <n v="3161"/>
    <n v="2"/>
    <s v="19hour33min"/>
    <n v="0.81458333333333333"/>
  </r>
  <r>
    <d v="2024-01-18T00:00:00"/>
    <n v="2"/>
    <x v="1"/>
    <n v="4"/>
    <n v="1114"/>
    <n v="2"/>
    <s v="2hour16min"/>
    <n v="9.4444444444444442E-2"/>
  </r>
  <r>
    <d v="2024-01-19T00:00:00"/>
    <n v="2"/>
    <x v="1"/>
    <n v="3"/>
    <n v="721"/>
    <n v="2"/>
    <s v="1hour56min"/>
    <n v="8.0555555555555561E-2"/>
  </r>
  <r>
    <d v="2024-01-20T00:00:00"/>
    <n v="4"/>
    <x v="3"/>
    <n v="9"/>
    <n v="4007"/>
    <n v="4"/>
    <s v="4hour43min"/>
    <n v="0.19652777777777777"/>
  </r>
  <r>
    <d v="2024-01-23T00:00:00"/>
    <n v="1"/>
    <x v="0"/>
    <n v="4"/>
    <n v="916"/>
    <n v="1"/>
    <s v="1hour40min"/>
    <n v="6.9444444444444448E-2"/>
  </r>
  <r>
    <d v="2024-01-24T00:00:00"/>
    <n v="1"/>
    <x v="0"/>
    <n v="4"/>
    <n v="1494"/>
    <n v="1"/>
    <s v="4hour8min"/>
    <n v="0.17222222222222222"/>
  </r>
  <r>
    <d v="2024-01-28T00:00:00"/>
    <n v="1"/>
    <x v="0"/>
    <n v="3"/>
    <n v="1231"/>
    <n v="1"/>
    <s v="5hour27min"/>
    <n v="0.22708333333333333"/>
  </r>
  <r>
    <d v="2024-01-29T00:00:00"/>
    <n v="1"/>
    <x v="0"/>
    <n v="2"/>
    <n v="779"/>
    <n v="1"/>
    <s v="1hour32min"/>
    <n v="6.3888888888888884E-2"/>
  </r>
  <r>
    <d v="2024-01-30T00:00:00"/>
    <n v="1"/>
    <x v="0"/>
    <n v="2"/>
    <n v="689"/>
    <n v="1"/>
    <s v="0hour18min"/>
    <n v="1.2500000000000001E-2"/>
  </r>
  <r>
    <d v="2024-01-31T00:00:00"/>
    <n v="1"/>
    <x v="0"/>
    <n v="2"/>
    <n v="791"/>
    <n v="1"/>
    <s v="1hour52min"/>
    <n v="7.7777777777777779E-2"/>
  </r>
  <r>
    <d v="2024-02-01T00:00:00"/>
    <n v="1"/>
    <x v="0"/>
    <n v="3"/>
    <n v="1427"/>
    <n v="1"/>
    <s v="0hour39min"/>
    <n v="2.7083333333333334E-2"/>
  </r>
  <r>
    <d v="2024-02-02T00:00:00"/>
    <n v="3"/>
    <x v="2"/>
    <n v="9"/>
    <n v="3088"/>
    <n v="3"/>
    <s v="6hour51min"/>
    <n v="0.28541666666666665"/>
  </r>
  <r>
    <d v="2024-02-05T00:00:00"/>
    <n v="1"/>
    <x v="0"/>
    <n v="3"/>
    <n v="842"/>
    <n v="1"/>
    <s v="1hour21min"/>
    <n v="5.6250000000000001E-2"/>
  </r>
  <r>
    <d v="2024-02-06T00:00:00"/>
    <n v="1"/>
    <x v="0"/>
    <n v="2"/>
    <n v="419"/>
    <n v="1"/>
    <s v="0hour36min"/>
    <n v="2.5000000000000001E-2"/>
  </r>
  <r>
    <d v="2024-02-07T00:00:00"/>
    <n v="4"/>
    <x v="3"/>
    <n v="6"/>
    <n v="1923"/>
    <n v="4"/>
    <s v="20hour17min"/>
    <n v="0.84513888888888888"/>
  </r>
  <r>
    <d v="2024-02-08T00:00:00"/>
    <n v="4"/>
    <x v="2"/>
    <n v="13"/>
    <n v="4469"/>
    <n v="4"/>
    <s v="4hour46min"/>
    <n v="0.1986111111111111"/>
  </r>
  <r>
    <d v="2024-02-10T00:00:00"/>
    <n v="1"/>
    <x v="0"/>
    <n v="1"/>
    <n v="296"/>
    <n v="1"/>
    <s v="1hour26min"/>
    <n v="5.9722222222222225E-2"/>
  </r>
  <r>
    <d v="2024-02-11T00:00:00"/>
    <n v="1"/>
    <x v="0"/>
    <n v="3"/>
    <n v="1072"/>
    <n v="1"/>
    <s v="23hour42min"/>
    <n v="0.98750000000000004"/>
  </r>
  <r>
    <d v="2024-02-12T00:00:00"/>
    <n v="1"/>
    <x v="0"/>
    <n v="1"/>
    <n v="344"/>
    <n v="1"/>
    <s v="0hour9min"/>
    <n v="6.2500000000000003E-3"/>
  </r>
  <r>
    <d v="2024-02-13T00:00:00"/>
    <n v="1"/>
    <x v="0"/>
    <n v="1"/>
    <n v="277"/>
    <n v="1"/>
    <s v="1hour54min"/>
    <n v="7.9166666666666663E-2"/>
  </r>
  <r>
    <d v="2024-02-14T00:00:00"/>
    <n v="1"/>
    <x v="0"/>
    <n v="1"/>
    <n v="307"/>
    <n v="1"/>
    <s v="1hour13min"/>
    <n v="5.0694444444444445E-2"/>
  </r>
  <r>
    <d v="2024-02-15T00:00:00"/>
    <n v="1"/>
    <x v="0"/>
    <n v="3"/>
    <n v="512"/>
    <n v="1"/>
    <s v="0hour24min"/>
    <n v="1.6666666666666666E-2"/>
  </r>
  <r>
    <d v="2024-02-16T00:00:00"/>
    <n v="2"/>
    <x v="1"/>
    <n v="5"/>
    <n v="1272"/>
    <n v="2"/>
    <s v="1hour28min"/>
    <n v="6.1111111111111109E-2"/>
  </r>
  <r>
    <d v="2024-02-18T00:00:00"/>
    <n v="3"/>
    <x v="2"/>
    <n v="10"/>
    <n v="4026"/>
    <n v="3"/>
    <s v="18hour54min"/>
    <n v="0.78749999999999998"/>
  </r>
  <r>
    <d v="2024-02-19T00:00:00"/>
    <n v="1"/>
    <x v="0"/>
    <n v="2"/>
    <n v="818"/>
    <n v="1"/>
    <s v="10hour42min"/>
    <n v="0.44583333333333336"/>
  </r>
  <r>
    <d v="2024-02-20T00:00:00"/>
    <n v="2"/>
    <x v="1"/>
    <n v="3"/>
    <n v="1062"/>
    <n v="2"/>
    <s v="2hour51min"/>
    <n v="0.11874999999999999"/>
  </r>
  <r>
    <d v="2024-02-22T00:00:00"/>
    <n v="4"/>
    <x v="1"/>
    <n v="12"/>
    <n v="4827"/>
    <n v="4"/>
    <s v="21hour5min"/>
    <n v="0.87847222222222221"/>
  </r>
  <r>
    <d v="2024-02-23T00:00:00"/>
    <n v="1"/>
    <x v="0"/>
    <n v="4"/>
    <n v="1328"/>
    <n v="1"/>
    <s v="0hour44min"/>
    <n v="3.0555555555555555E-2"/>
  </r>
  <r>
    <d v="2024-02-24T00:00:00"/>
    <n v="5"/>
    <x v="4"/>
    <n v="12"/>
    <n v="3643"/>
    <n v="5"/>
    <s v="20hour25min"/>
    <n v="0.85069444444444442"/>
  </r>
  <r>
    <d v="2024-02-25T00:00:00"/>
    <n v="1"/>
    <x v="0"/>
    <n v="1"/>
    <n v="280"/>
    <n v="1"/>
    <s v="0hour8min"/>
    <n v="5.5555555555555558E-3"/>
  </r>
  <r>
    <d v="2024-02-26T00:00:00"/>
    <n v="3"/>
    <x v="2"/>
    <n v="7"/>
    <n v="3036"/>
    <n v="3"/>
    <s v="6hour13min"/>
    <n v="0.2590277777777778"/>
  </r>
  <r>
    <d v="2024-02-27T00:00:00"/>
    <n v="2"/>
    <x v="1"/>
    <n v="3"/>
    <n v="821"/>
    <n v="2"/>
    <s v="6hour48min"/>
    <n v="0.28333333333333333"/>
  </r>
  <r>
    <d v="2024-02-28T00:00:00"/>
    <n v="2"/>
    <x v="1"/>
    <n v="3"/>
    <n v="1088"/>
    <n v="2"/>
    <s v="2hour10min"/>
    <n v="9.0277777777777776E-2"/>
  </r>
  <r>
    <d v="2024-02-29T00:00:00"/>
    <n v="3"/>
    <x v="2"/>
    <n v="4"/>
    <n v="917"/>
    <n v="3"/>
    <s v="5hour7min"/>
    <n v="0.21319444444444444"/>
  </r>
  <r>
    <d v="2024-03-01T00:00:00"/>
    <n v="2"/>
    <x v="1"/>
    <n v="10"/>
    <n v="4395"/>
    <n v="2"/>
    <s v="52hour32min"/>
    <n v="0.18888888888888911"/>
  </r>
  <r>
    <d v="2024-03-03T00:00:00"/>
    <n v="2"/>
    <x v="1"/>
    <n v="4"/>
    <n v="1473"/>
    <n v="2"/>
    <s v="2hour42min"/>
    <n v="0.1125"/>
  </r>
  <r>
    <d v="2024-03-04T00:00:00"/>
    <n v="2"/>
    <x v="1"/>
    <n v="5"/>
    <n v="1395"/>
    <n v="2"/>
    <s v="2hour29min"/>
    <n v="0.10347222222222222"/>
  </r>
  <r>
    <d v="2024-03-05T00:00:00"/>
    <n v="4"/>
    <x v="3"/>
    <n v="8"/>
    <n v="3005"/>
    <n v="4"/>
    <s v="21hour33min"/>
    <n v="0.8979166666666667"/>
  </r>
  <r>
    <d v="2024-03-06T00:00:00"/>
    <n v="1"/>
    <x v="0"/>
    <n v="3"/>
    <n v="819"/>
    <n v="1"/>
    <s v="2hour24min"/>
    <n v="0.1"/>
  </r>
  <r>
    <d v="2024-03-07T00:00:00"/>
    <n v="4"/>
    <x v="3"/>
    <n v="13"/>
    <n v="4821"/>
    <n v="4"/>
    <s v="30hour47min"/>
    <n v="0.28263888888888888"/>
  </r>
  <r>
    <d v="2024-03-08T00:00:00"/>
    <n v="1"/>
    <x v="0"/>
    <n v="3"/>
    <n v="991"/>
    <n v="1"/>
    <s v="1hour6min"/>
    <n v="4.583333333333333E-2"/>
  </r>
  <r>
    <d v="2024-03-09T00:00:00"/>
    <n v="2"/>
    <x v="1"/>
    <n v="4"/>
    <n v="1103"/>
    <n v="2"/>
    <s v="1hour50min"/>
    <n v="7.6388888888888895E-2"/>
  </r>
  <r>
    <d v="2024-03-10T00:00:00"/>
    <n v="6"/>
    <x v="2"/>
    <n v="17"/>
    <n v="7065"/>
    <n v="6"/>
    <s v="55hour53min"/>
    <n v="0.32847222222222205"/>
  </r>
  <r>
    <d v="2024-03-11T00:00:00"/>
    <n v="4"/>
    <x v="3"/>
    <n v="5"/>
    <n v="1554"/>
    <n v="4"/>
    <s v="9hour15min"/>
    <n v="0.38541666666666669"/>
  </r>
  <r>
    <d v="2024-03-13T00:00:00"/>
    <n v="3"/>
    <x v="2"/>
    <n v="10"/>
    <n v="3843"/>
    <n v="3"/>
    <s v="37hour24min"/>
    <n v="0.55833333333333335"/>
  </r>
  <r>
    <d v="2024-03-14T00:00:00"/>
    <n v="1"/>
    <x v="0"/>
    <n v="3"/>
    <n v="652"/>
    <n v="1"/>
    <s v="2hour3min"/>
    <n v="8.5416666666666669E-2"/>
  </r>
  <r>
    <d v="2024-03-15T00:00:00"/>
    <n v="2"/>
    <x v="1"/>
    <n v="3"/>
    <n v="1269"/>
    <n v="2"/>
    <s v="2hour14min"/>
    <n v="9.3055555555555558E-2"/>
  </r>
  <r>
    <d v="2024-03-16T00:00:00"/>
    <n v="3"/>
    <x v="2"/>
    <n v="5"/>
    <n v="1770"/>
    <n v="3"/>
    <s v="2hour55min"/>
    <n v="0.12152777777777778"/>
  </r>
  <r>
    <d v="2024-03-17T00:00:00"/>
    <n v="2"/>
    <x v="1"/>
    <n v="4"/>
    <n v="1521"/>
    <n v="2"/>
    <s v="12hour22min"/>
    <n v="0.51527777777777772"/>
  </r>
  <r>
    <d v="2024-03-18T00:00:00"/>
    <n v="3"/>
    <x v="2"/>
    <n v="5"/>
    <n v="1732"/>
    <n v="3"/>
    <s v="6hour53min"/>
    <n v="0.28680555555555554"/>
  </r>
  <r>
    <d v="2024-03-19T00:00:00"/>
    <n v="2"/>
    <x v="1"/>
    <n v="2"/>
    <n v="899"/>
    <n v="2"/>
    <s v="2hour37min"/>
    <n v="0.10902777777777778"/>
  </r>
  <r>
    <d v="2024-03-20T00:00:00"/>
    <n v="2"/>
    <x v="1"/>
    <n v="7"/>
    <n v="3474"/>
    <n v="2"/>
    <s v="5hour48min"/>
    <n v="0.24166666666666667"/>
  </r>
  <r>
    <d v="2024-03-22T00:00:00"/>
    <n v="2"/>
    <x v="1"/>
    <n v="3"/>
    <n v="1202"/>
    <n v="2"/>
    <s v="1hour48min"/>
    <n v="7.4999999999999997E-2"/>
  </r>
  <r>
    <d v="2024-03-23T00:00:00"/>
    <n v="2"/>
    <x v="1"/>
    <n v="5"/>
    <n v="2155"/>
    <n v="2"/>
    <s v="1hour49min"/>
    <n v="7.5694444444444439E-2"/>
  </r>
  <r>
    <d v="2024-03-24T00:00:00"/>
    <n v="3"/>
    <x v="2"/>
    <n v="5"/>
    <n v="2904"/>
    <n v="3"/>
    <s v="3hour29min"/>
    <n v="0.1451388888888889"/>
  </r>
  <r>
    <d v="2024-03-25T00:00:00"/>
    <n v="3"/>
    <x v="2"/>
    <n v="11"/>
    <n v="3887"/>
    <n v="3"/>
    <s v="16hour57min"/>
    <n v="0.70625000000000004"/>
  </r>
  <r>
    <d v="2024-03-26T00:00:00"/>
    <n v="4"/>
    <x v="3"/>
    <n v="10"/>
    <n v="3680"/>
    <n v="4"/>
    <s v="8hour51min"/>
    <n v="0.36875000000000002"/>
  </r>
  <r>
    <d v="2024-03-27T00:00:00"/>
    <n v="4"/>
    <x v="2"/>
    <n v="9"/>
    <n v="3453"/>
    <n v="4"/>
    <s v="9hour46min"/>
    <n v="0.40694444444444444"/>
  </r>
  <r>
    <d v="2024-03-28T00:00:00"/>
    <n v="1"/>
    <x v="0"/>
    <n v="4"/>
    <n v="2042"/>
    <n v="1"/>
    <s v="0hour44min"/>
    <n v="3.0555555555555555E-2"/>
  </r>
  <r>
    <d v="2024-03-29T00:00:00"/>
    <n v="2"/>
    <x v="1"/>
    <n v="10"/>
    <n v="2696"/>
    <n v="2"/>
    <s v="41hour56min"/>
    <n v="0.74722222222222223"/>
  </r>
  <r>
    <d v="2024-03-30T00:00:00"/>
    <n v="2"/>
    <x v="1"/>
    <n v="5"/>
    <n v="2374"/>
    <n v="2"/>
    <s v="8hour54min"/>
    <n v="0.37083333333333335"/>
  </r>
  <r>
    <d v="2024-03-31T00:00:00"/>
    <n v="1"/>
    <x v="0"/>
    <n v="1"/>
    <n v="172"/>
    <n v="1"/>
    <s v="0hour7min"/>
    <n v="4.8611111111111112E-3"/>
  </r>
  <r>
    <d v="2024-04-01T00:00:00"/>
    <n v="5"/>
    <x v="4"/>
    <n v="19"/>
    <n v="5623"/>
    <n v="5"/>
    <s v="26hour11min"/>
    <n v="9.0972222222222232E-2"/>
  </r>
  <r>
    <d v="2024-04-02T00:00:00"/>
    <n v="4"/>
    <x v="3"/>
    <n v="6"/>
    <n v="3454"/>
    <n v="4"/>
    <s v="31hour47min"/>
    <n v="0.32430555555555562"/>
  </r>
  <r>
    <d v="2024-04-05T00:00:00"/>
    <n v="2"/>
    <x v="1"/>
    <n v="4"/>
    <n v="1210"/>
    <n v="2"/>
    <s v="2hour45min"/>
    <n v="0.11458333333333333"/>
  </r>
  <r>
    <d v="2024-04-06T00:00:00"/>
    <n v="5"/>
    <x v="4"/>
    <n v="13"/>
    <n v="4718"/>
    <n v="5"/>
    <s v="19hour29min"/>
    <n v="0.81180555555555556"/>
  </r>
  <r>
    <d v="2024-04-07T00:00:00"/>
    <n v="3"/>
    <x v="1"/>
    <n v="6"/>
    <n v="2710"/>
    <n v="3"/>
    <s v="8hour20min"/>
    <n v="0.34722222222222221"/>
  </r>
  <r>
    <d v="2024-04-08T00:00:00"/>
    <n v="1"/>
    <x v="0"/>
    <n v="2"/>
    <n v="335"/>
    <n v="1"/>
    <s v="2hour10min"/>
    <n v="9.0277777777777776E-2"/>
  </r>
  <r>
    <d v="2024-04-09T00:00:00"/>
    <n v="3"/>
    <x v="1"/>
    <n v="3"/>
    <n v="1345"/>
    <n v="3"/>
    <s v="2hour16min"/>
    <n v="9.4444444444444442E-2"/>
  </r>
  <r>
    <d v="2024-04-10T00:00:00"/>
    <n v="4"/>
    <x v="3"/>
    <n v="9"/>
    <n v="2998"/>
    <n v="4"/>
    <s v="11hour39min"/>
    <n v="0.48541666666666666"/>
  </r>
  <r>
    <d v="2024-04-11T00:00:00"/>
    <n v="1"/>
    <x v="0"/>
    <n v="1"/>
    <n v="525"/>
    <n v="1"/>
    <s v="0hour32min"/>
    <n v="2.2222222222222223E-2"/>
  </r>
  <r>
    <d v="2024-04-12T00:00:00"/>
    <n v="2"/>
    <x v="1"/>
    <n v="7"/>
    <n v="2590"/>
    <n v="2"/>
    <s v="6hour56min"/>
    <n v="0.28888888888888886"/>
  </r>
  <r>
    <d v="2024-04-13T00:00:00"/>
    <n v="3"/>
    <x v="2"/>
    <n v="7"/>
    <n v="1986"/>
    <n v="3"/>
    <s v="10hour23min"/>
    <n v="0.43263888888888891"/>
  </r>
  <r>
    <d v="2024-04-14T00:00:00"/>
    <n v="1"/>
    <x v="0"/>
    <n v="1"/>
    <n v="167"/>
    <n v="1"/>
    <s v="0hour41min"/>
    <n v="2.8472222222222222E-2"/>
  </r>
  <r>
    <d v="2024-04-16T00:00:00"/>
    <n v="3"/>
    <x v="1"/>
    <n v="5"/>
    <n v="1396"/>
    <n v="3"/>
    <s v="3hour36min"/>
    <n v="0.15"/>
  </r>
  <r>
    <d v="2024-04-17T00:00:00"/>
    <n v="4"/>
    <x v="2"/>
    <n v="10"/>
    <n v="4047"/>
    <n v="4"/>
    <s v="30hour1min"/>
    <n v="0.25069444444444455"/>
  </r>
  <r>
    <d v="2024-04-18T00:00:00"/>
    <n v="2"/>
    <x v="0"/>
    <n v="2"/>
    <n v="726"/>
    <n v="2"/>
    <s v="3hour9min"/>
    <n v="0.13125000000000001"/>
  </r>
  <r>
    <d v="2024-04-19T00:00:00"/>
    <n v="4"/>
    <x v="3"/>
    <n v="11"/>
    <n v="3387"/>
    <n v="4"/>
    <s v="13hour53min"/>
    <n v="0.57847222222222228"/>
  </r>
  <r>
    <d v="2024-04-20T00:00:00"/>
    <n v="2"/>
    <x v="1"/>
    <n v="3"/>
    <n v="979"/>
    <n v="2"/>
    <s v="8hour25min"/>
    <n v="0.35069444444444442"/>
  </r>
  <r>
    <d v="2024-04-21T00:00:00"/>
    <n v="3"/>
    <x v="2"/>
    <n v="7"/>
    <n v="2484"/>
    <n v="3"/>
    <s v="6hour29min"/>
    <n v="0.27013888888888887"/>
  </r>
  <r>
    <d v="2024-04-22T00:00:00"/>
    <n v="2"/>
    <x v="1"/>
    <n v="3"/>
    <n v="1018"/>
    <n v="2"/>
    <s v="3hour21min"/>
    <n v="0.13958333333333334"/>
  </r>
  <r>
    <d v="2024-04-23T00:00:00"/>
    <n v="2"/>
    <x v="1"/>
    <n v="7"/>
    <n v="1887"/>
    <n v="2"/>
    <s v="6hour41min"/>
    <n v="0.27847222222222223"/>
  </r>
  <r>
    <d v="2024-04-24T00:00:00"/>
    <n v="1"/>
    <x v="0"/>
    <n v="4"/>
    <n v="1320"/>
    <n v="1"/>
    <s v="0hour24min"/>
    <n v="1.6666666666666666E-2"/>
  </r>
  <r>
    <d v="2024-04-25T00:00:00"/>
    <n v="6"/>
    <x v="3"/>
    <n v="20"/>
    <n v="7885"/>
    <n v="6"/>
    <s v="6hour47min"/>
    <n v="0.28263888888888888"/>
  </r>
  <r>
    <d v="2024-04-26T00:00:00"/>
    <n v="1"/>
    <x v="0"/>
    <n v="3"/>
    <n v="849"/>
    <n v="1"/>
    <s v="3hour36min"/>
    <n v="0.15"/>
  </r>
  <r>
    <d v="2024-04-27T00:00:00"/>
    <n v="1"/>
    <x v="0"/>
    <n v="1"/>
    <n v="332"/>
    <n v="1"/>
    <s v="7hour0min"/>
    <n v="0.29166666666666669"/>
  </r>
  <r>
    <d v="2024-04-28T00:00:00"/>
    <n v="3"/>
    <x v="2"/>
    <n v="8"/>
    <n v="2662"/>
    <n v="3"/>
    <s v="17hour15min"/>
    <n v="0.71875"/>
  </r>
  <r>
    <d v="2024-04-29T00:00:00"/>
    <n v="4"/>
    <x v="3"/>
    <n v="6"/>
    <n v="2658"/>
    <n v="4"/>
    <s v="10hour11min"/>
    <n v="0.42430555555555555"/>
  </r>
  <r>
    <d v="2024-04-30T00:00:00"/>
    <n v="5"/>
    <x v="2"/>
    <n v="13"/>
    <n v="4673"/>
    <n v="5"/>
    <s v="30hour58min"/>
    <n v="0.29027777777777786"/>
  </r>
  <r>
    <d v="2024-05-01T00:00:00"/>
    <n v="3"/>
    <x v="2"/>
    <n v="8"/>
    <n v="2195"/>
    <n v="3"/>
    <s v="11hour45min"/>
    <n v="0.48958333333333331"/>
  </r>
  <r>
    <d v="2024-05-02T00:00:00"/>
    <n v="3"/>
    <x v="2"/>
    <n v="7"/>
    <n v="2345"/>
    <n v="3"/>
    <s v="9hour3min"/>
    <n v="0.37708333333333333"/>
  </r>
  <r>
    <d v="2024-05-04T00:00:00"/>
    <n v="6"/>
    <x v="3"/>
    <n v="9"/>
    <n v="2265"/>
    <n v="6"/>
    <s v="22hour3min"/>
    <n v="0.91874999999999996"/>
  </r>
  <r>
    <d v="2024-05-05T00:00:00"/>
    <n v="1"/>
    <x v="0"/>
    <n v="4"/>
    <n v="1847"/>
    <n v="1"/>
    <s v="29hour4min"/>
    <n v="0.21111111111111103"/>
  </r>
  <r>
    <d v="2024-05-06T00:00:00"/>
    <n v="4"/>
    <x v="3"/>
    <n v="11"/>
    <n v="2539"/>
    <n v="4"/>
    <s v="40hour49min"/>
    <n v="0.70069444444444451"/>
  </r>
  <r>
    <d v="2024-05-07T00:00:00"/>
    <n v="8"/>
    <x v="4"/>
    <n v="22"/>
    <n v="8509"/>
    <n v="8"/>
    <s v="37hour57min"/>
    <n v="0.58125000000000004"/>
  </r>
  <r>
    <d v="2024-05-08T00:00:00"/>
    <n v="1"/>
    <x v="0"/>
    <n v="4"/>
    <n v="1603"/>
    <n v="1"/>
    <s v="0hour52min"/>
    <n v="3.6111111111111108E-2"/>
  </r>
  <r>
    <d v="2024-05-09T00:00:00"/>
    <n v="2"/>
    <x v="1"/>
    <n v="3"/>
    <n v="1070"/>
    <n v="2"/>
    <s v="1hour19min"/>
    <n v="5.486111111111111E-2"/>
  </r>
  <r>
    <d v="2024-05-10T00:00:00"/>
    <n v="2"/>
    <x v="1"/>
    <n v="6"/>
    <n v="2325"/>
    <n v="2"/>
    <s v="3hour10min"/>
    <n v="0.13194444444444445"/>
  </r>
  <r>
    <d v="2024-05-11T00:00:00"/>
    <n v="2"/>
    <x v="1"/>
    <n v="7"/>
    <n v="2231"/>
    <n v="2"/>
    <s v="2hour50min"/>
    <n v="0.11805555555555555"/>
  </r>
  <r>
    <d v="2024-05-12T00:00:00"/>
    <n v="3"/>
    <x v="2"/>
    <n v="8"/>
    <n v="2604"/>
    <n v="3"/>
    <s v="2hour46min"/>
    <n v="0.11527777777777778"/>
  </r>
  <r>
    <d v="2024-05-13T00:00:00"/>
    <n v="2"/>
    <x v="1"/>
    <n v="5"/>
    <n v="2053"/>
    <n v="2"/>
    <s v="6hour55min"/>
    <n v="0.28819444444444442"/>
  </r>
  <r>
    <d v="2024-05-14T00:00:00"/>
    <n v="3"/>
    <x v="2"/>
    <n v="5"/>
    <n v="1915"/>
    <n v="3"/>
    <s v="6hour33min"/>
    <n v="0.27291666666666664"/>
  </r>
  <r>
    <d v="2024-05-15T00:00:00"/>
    <n v="2"/>
    <x v="0"/>
    <n v="7"/>
    <n v="3468"/>
    <n v="2"/>
    <s v="3hour43min"/>
    <n v="0.15486111111111112"/>
  </r>
  <r>
    <d v="2024-05-16T00:00:00"/>
    <n v="2"/>
    <x v="1"/>
    <n v="5"/>
    <n v="2046"/>
    <n v="2"/>
    <s v="5hour7min"/>
    <n v="0.21319444444444444"/>
  </r>
  <r>
    <d v="2024-05-17T00:00:00"/>
    <n v="1"/>
    <x v="0"/>
    <n v="4"/>
    <n v="1950"/>
    <n v="1"/>
    <s v="1hour52min"/>
    <n v="7.7777777777777779E-2"/>
  </r>
  <r>
    <d v="2024-05-18T00:00:00"/>
    <n v="2"/>
    <x v="0"/>
    <n v="5"/>
    <n v="1883"/>
    <n v="2"/>
    <s v="6hour32min"/>
    <n v="0.2722222222222222"/>
  </r>
  <r>
    <d v="2024-05-19T00:00:00"/>
    <n v="1"/>
    <x v="0"/>
    <n v="3"/>
    <n v="1291"/>
    <n v="1"/>
    <s v="0hour21min"/>
    <n v="1.4583333333333334E-2"/>
  </r>
  <r>
    <d v="2024-05-20T00:00:00"/>
    <n v="4"/>
    <x v="2"/>
    <n v="9"/>
    <n v="2852"/>
    <n v="4"/>
    <s v="13hour3min"/>
    <n v="0.54374999999999996"/>
  </r>
  <r>
    <d v="2024-05-21T00:00:00"/>
    <n v="3"/>
    <x v="2"/>
    <n v="5"/>
    <n v="1812"/>
    <n v="3"/>
    <s v="4hour17min"/>
    <n v="0.17847222222222223"/>
  </r>
  <r>
    <d v="2024-05-22T00:00:00"/>
    <n v="4"/>
    <x v="3"/>
    <n v="6"/>
    <n v="2449"/>
    <n v="4"/>
    <s v="3hour27min"/>
    <n v="0.14374999999999999"/>
  </r>
  <r>
    <d v="2024-05-23T00:00:00"/>
    <n v="2"/>
    <x v="1"/>
    <n v="3"/>
    <n v="899"/>
    <n v="2"/>
    <s v="14hour36min"/>
    <n v="0.60833333333333328"/>
  </r>
  <r>
    <d v="2024-05-24T00:00:00"/>
    <n v="3"/>
    <x v="1"/>
    <n v="4"/>
    <n v="1498"/>
    <n v="3"/>
    <s v="2hour55min"/>
    <n v="0.12152777777777778"/>
  </r>
  <r>
    <d v="2024-05-25T00:00:00"/>
    <n v="3"/>
    <x v="1"/>
    <n v="10"/>
    <n v="4065"/>
    <n v="3"/>
    <s v="8hour28min"/>
    <n v="0.3527777777777778"/>
  </r>
  <r>
    <d v="2024-05-26T00:00:00"/>
    <n v="4"/>
    <x v="2"/>
    <n v="7"/>
    <n v="2719"/>
    <n v="4"/>
    <s v="17hour19min"/>
    <n v="0.72152777777777777"/>
  </r>
  <r>
    <d v="2024-05-27T00:00:00"/>
    <n v="5"/>
    <x v="3"/>
    <n v="10"/>
    <n v="3880"/>
    <n v="5"/>
    <s v="12hour10min"/>
    <n v="0.50694444444444442"/>
  </r>
  <r>
    <d v="2024-05-28T00:00:00"/>
    <n v="2"/>
    <x v="1"/>
    <n v="7"/>
    <n v="2289"/>
    <n v="2"/>
    <s v="6hour38min"/>
    <n v="0.27638888888888891"/>
  </r>
  <r>
    <d v="2024-05-29T00:00:00"/>
    <n v="1"/>
    <x v="0"/>
    <n v="2"/>
    <n v="627"/>
    <n v="1"/>
    <s v="0hour14min"/>
    <n v="9.7222222222222224E-3"/>
  </r>
  <r>
    <d v="2024-05-30T00:00:00"/>
    <n v="2"/>
    <x v="1"/>
    <n v="3"/>
    <n v="1699"/>
    <n v="2"/>
    <s v="8hour1min"/>
    <n v="0.33402777777777776"/>
  </r>
  <r>
    <d v="2024-05-31T00:00:00"/>
    <n v="2"/>
    <x v="1"/>
    <n v="4"/>
    <n v="2247"/>
    <n v="2"/>
    <s v="9hour36min"/>
    <n v="0.4"/>
  </r>
  <r>
    <d v="2024-06-01T00:00:00"/>
    <n v="3"/>
    <x v="2"/>
    <n v="5"/>
    <n v="2230"/>
    <n v="3"/>
    <s v="6hour51min"/>
    <n v="0.28541666666666665"/>
  </r>
  <r>
    <d v="2024-06-02T00:00:00"/>
    <n v="2"/>
    <x v="1"/>
    <n v="7"/>
    <n v="2648"/>
    <n v="2"/>
    <s v="8hour44min"/>
    <n v="0.36388888888888887"/>
  </r>
  <r>
    <d v="2024-06-03T00:00:00"/>
    <n v="2"/>
    <x v="1"/>
    <n v="5"/>
    <n v="1128"/>
    <n v="2"/>
    <s v="0hour55min"/>
    <n v="3.8194444444444448E-2"/>
  </r>
  <r>
    <d v="2024-06-04T00:00:00"/>
    <n v="2"/>
    <x v="1"/>
    <n v="4"/>
    <n v="895"/>
    <n v="2"/>
    <s v="2hour46min"/>
    <n v="0.11527777777777778"/>
  </r>
  <r>
    <d v="2024-06-05T00:00:00"/>
    <n v="3"/>
    <x v="1"/>
    <n v="11"/>
    <n v="4137"/>
    <n v="3"/>
    <s v="21hour1min"/>
    <n v="0.87569444444444444"/>
  </r>
  <r>
    <d v="2024-06-06T00:00:00"/>
    <n v="3"/>
    <x v="2"/>
    <n v="6"/>
    <n v="2669"/>
    <n v="3"/>
    <s v="7hour30min"/>
    <n v="0.3125"/>
  </r>
  <r>
    <d v="2024-06-07T00:00:00"/>
    <n v="2"/>
    <x v="0"/>
    <n v="2"/>
    <n v="801"/>
    <n v="2"/>
    <s v="0hour57min"/>
    <n v="3.9583333333333331E-2"/>
  </r>
  <r>
    <d v="2024-06-08T00:00:00"/>
    <n v="1"/>
    <x v="0"/>
    <n v="2"/>
    <n v="439"/>
    <n v="1"/>
    <s v="0hour50min"/>
    <n v="3.4722222222222224E-2"/>
  </r>
  <r>
    <d v="2024-06-09T00:00:00"/>
    <n v="3"/>
    <x v="1"/>
    <n v="8"/>
    <n v="3339"/>
    <n v="3"/>
    <s v="14hour7min"/>
    <n v="0.58819444444444446"/>
  </r>
  <r>
    <d v="2024-06-10T00:00:00"/>
    <n v="2"/>
    <x v="1"/>
    <n v="2"/>
    <n v="674"/>
    <n v="2"/>
    <s v="1hour38min"/>
    <n v="6.805555555555555E-2"/>
  </r>
  <r>
    <d v="2024-06-11T00:00:00"/>
    <n v="2"/>
    <x v="1"/>
    <n v="6"/>
    <n v="2290"/>
    <n v="2"/>
    <s v="3hour51min"/>
    <n v="0.16041666666666668"/>
  </r>
  <r>
    <d v="2024-06-12T00:00:00"/>
    <n v="2"/>
    <x v="1"/>
    <n v="4"/>
    <n v="1870"/>
    <n v="2"/>
    <s v="6hour15min"/>
    <n v="0.26041666666666669"/>
  </r>
  <r>
    <d v="2024-06-13T00:00:00"/>
    <n v="4"/>
    <x v="3"/>
    <n v="6"/>
    <n v="1777"/>
    <n v="4"/>
    <s v="9hour39min"/>
    <n v="0.40208333333333335"/>
  </r>
  <r>
    <d v="2024-06-14T00:00:00"/>
    <n v="2"/>
    <x v="1"/>
    <n v="3"/>
    <n v="916"/>
    <n v="2"/>
    <s v="2hour32min"/>
    <n v="0.10555555555555556"/>
  </r>
  <r>
    <d v="2024-06-15T00:00:00"/>
    <n v="2"/>
    <x v="1"/>
    <n v="6"/>
    <n v="2140"/>
    <n v="2"/>
    <s v="2hour12min"/>
    <n v="9.166666666666666E-2"/>
  </r>
  <r>
    <d v="2024-06-16T00:00:00"/>
    <n v="3"/>
    <x v="2"/>
    <n v="7"/>
    <n v="1987"/>
    <n v="3"/>
    <s v="4hour3min"/>
    <n v="0.16875000000000001"/>
  </r>
  <r>
    <d v="2024-06-17T00:00:00"/>
    <n v="4"/>
    <x v="2"/>
    <n v="10"/>
    <n v="3760"/>
    <n v="4"/>
    <s v="14hour13min"/>
    <n v="0.59236111111111112"/>
  </r>
  <r>
    <d v="2024-06-18T00:00:00"/>
    <n v="2"/>
    <x v="1"/>
    <n v="2"/>
    <n v="714"/>
    <n v="2"/>
    <s v="2hour14min"/>
    <n v="9.3055555555555558E-2"/>
  </r>
  <r>
    <d v="2024-06-19T00:00:00"/>
    <n v="2"/>
    <x v="1"/>
    <n v="6"/>
    <n v="2307"/>
    <n v="2"/>
    <s v="13hour42min"/>
    <n v="0.5708333333333333"/>
  </r>
  <r>
    <d v="2024-06-20T00:00:00"/>
    <n v="4"/>
    <x v="3"/>
    <n v="10"/>
    <n v="3596"/>
    <n v="4"/>
    <s v="1hour19min"/>
    <n v="5.486111111111111E-2"/>
  </r>
  <r>
    <d v="2024-06-21T00:00:00"/>
    <n v="3"/>
    <x v="2"/>
    <n v="5"/>
    <n v="1441"/>
    <n v="3"/>
    <s v="1hour0min"/>
    <n v="4.1666666666666664E-2"/>
  </r>
  <r>
    <d v="2024-06-22T00:00:00"/>
    <n v="2"/>
    <x v="1"/>
    <n v="3"/>
    <n v="1002"/>
    <n v="2"/>
    <s v="7hour10min"/>
    <n v="0.2986111111111111"/>
  </r>
  <r>
    <d v="2024-06-23T00:00:00"/>
    <n v="4"/>
    <x v="2"/>
    <n v="10"/>
    <n v="2923"/>
    <n v="4"/>
    <s v="7hour29min"/>
    <n v="0.31180555555555556"/>
  </r>
  <r>
    <d v="2024-06-25T00:00:00"/>
    <n v="4"/>
    <x v="2"/>
    <n v="10"/>
    <n v="2392"/>
    <n v="4"/>
    <s v="17hour52min"/>
    <n v="0.74444444444444446"/>
  </r>
  <r>
    <d v="2024-06-26T00:00:00"/>
    <n v="3"/>
    <x v="2"/>
    <n v="6"/>
    <n v="2057"/>
    <n v="3"/>
    <s v="7hour15min"/>
    <n v="0.30208333333333331"/>
  </r>
  <r>
    <d v="2024-06-27T00:00:00"/>
    <n v="3"/>
    <x v="2"/>
    <n v="5"/>
    <n v="1786"/>
    <n v="3"/>
    <s v="2hour43min"/>
    <n v="0.11319444444444444"/>
  </r>
  <r>
    <d v="2024-06-28T00:00:00"/>
    <n v="3"/>
    <x v="2"/>
    <n v="7"/>
    <n v="2632"/>
    <n v="3"/>
    <s v="7hour36min"/>
    <n v="0.31666666666666665"/>
  </r>
  <r>
    <d v="2024-06-29T00:00:00"/>
    <n v="2"/>
    <x v="1"/>
    <n v="2"/>
    <n v="1040"/>
    <n v="2"/>
    <s v="2hour2min"/>
    <n v="8.4722222222222227E-2"/>
  </r>
  <r>
    <d v="2024-06-30T00:00:00"/>
    <n v="1"/>
    <x v="0"/>
    <n v="2"/>
    <n v="1047"/>
    <n v="1"/>
    <s v="0hour20min"/>
    <n v="1.3888888888888888E-2"/>
  </r>
  <r>
    <d v="2024-07-01T00:00:00"/>
    <n v="1"/>
    <x v="0"/>
    <n v="1"/>
    <n v="357"/>
    <n v="1"/>
    <s v="0hour15min"/>
    <n v="1.0416666666666666E-2"/>
  </r>
  <r>
    <d v="2024-07-02T00:00:00"/>
    <n v="3"/>
    <x v="2"/>
    <n v="8"/>
    <n v="3767"/>
    <n v="3"/>
    <s v="10hour41min"/>
    <n v="0.44513888888888886"/>
  </r>
  <r>
    <d v="2024-07-03T00:00:00"/>
    <n v="3"/>
    <x v="1"/>
    <n v="7"/>
    <n v="2787"/>
    <n v="3"/>
    <s v="3hour32min"/>
    <n v="0.14722222222222223"/>
  </r>
  <r>
    <d v="2024-07-04T00:00:00"/>
    <n v="2"/>
    <x v="1"/>
    <n v="5"/>
    <n v="1655"/>
    <n v="2"/>
    <s v="5hour11min"/>
    <n v="0.21597222222222223"/>
  </r>
  <r>
    <d v="2024-07-05T00:00:00"/>
    <n v="6"/>
    <x v="3"/>
    <n v="13"/>
    <n v="5089"/>
    <n v="6"/>
    <s v="12hour50min"/>
    <n v="0.53472222222222221"/>
  </r>
  <r>
    <d v="2024-07-06T00:00:00"/>
    <n v="1"/>
    <x v="0"/>
    <n v="2"/>
    <n v="802"/>
    <n v="1"/>
    <s v="0hour28min"/>
    <n v="1.9444444444444445E-2"/>
  </r>
  <r>
    <d v="2024-07-07T00:00:00"/>
    <n v="1"/>
    <x v="0"/>
    <n v="1"/>
    <n v="378"/>
    <n v="1"/>
    <s v="1hour37min"/>
    <n v="6.7361111111111108E-2"/>
  </r>
  <r>
    <d v="2024-07-08T00:00:00"/>
    <n v="10"/>
    <x v="5"/>
    <n v="22"/>
    <n v="7291"/>
    <n v="10"/>
    <s v="32hour48min"/>
    <n v="0.3666666666666667"/>
  </r>
  <r>
    <d v="2024-07-09T00:00:00"/>
    <n v="1"/>
    <x v="0"/>
    <n v="3"/>
    <n v="584"/>
    <n v="1"/>
    <s v="1hour30min"/>
    <n v="6.25E-2"/>
  </r>
  <r>
    <d v="2024-07-10T00:00:00"/>
    <n v="2"/>
    <x v="1"/>
    <n v="2"/>
    <n v="899"/>
    <n v="2"/>
    <s v="1hour38min"/>
    <n v="6.805555555555555E-2"/>
  </r>
  <r>
    <d v="2024-07-11T00:00:00"/>
    <n v="4"/>
    <x v="2"/>
    <n v="13"/>
    <n v="4318"/>
    <n v="4"/>
    <s v="4hour49min"/>
    <n v="0.20069444444444445"/>
  </r>
  <r>
    <d v="2024-07-12T00:00:00"/>
    <n v="2"/>
    <x v="1"/>
    <n v="6"/>
    <n v="1188"/>
    <n v="2"/>
    <s v="1hour6min"/>
    <n v="4.583333333333333E-2"/>
  </r>
  <r>
    <d v="2024-07-13T00:00:00"/>
    <n v="3"/>
    <x v="1"/>
    <n v="10"/>
    <n v="3392"/>
    <n v="3"/>
    <s v="6hour46min"/>
    <n v="0.28194444444444444"/>
  </r>
  <r>
    <d v="2024-07-14T00:00:00"/>
    <n v="4"/>
    <x v="3"/>
    <n v="11"/>
    <n v="4093"/>
    <n v="4"/>
    <s v="5hour7min"/>
    <n v="0.21319444444444444"/>
  </r>
  <r>
    <d v="2024-07-15T00:00:00"/>
    <n v="5"/>
    <x v="4"/>
    <n v="13"/>
    <n v="4843"/>
    <n v="5"/>
    <s v="4hour47min"/>
    <n v="0.19930555555555557"/>
  </r>
  <r>
    <d v="2024-07-16T00:00:00"/>
    <n v="2"/>
    <x v="1"/>
    <n v="7"/>
    <n v="2549"/>
    <n v="2"/>
    <s v="8hour42min"/>
    <n v="0.36249999999999999"/>
  </r>
  <r>
    <d v="2024-07-17T00:00:00"/>
    <n v="6"/>
    <x v="4"/>
    <n v="10"/>
    <n v="2849"/>
    <n v="6"/>
    <s v="9hour57min"/>
    <n v="0.41458333333333336"/>
  </r>
  <r>
    <d v="2024-07-18T00:00:00"/>
    <n v="1"/>
    <x v="0"/>
    <n v="1"/>
    <n v="367"/>
    <n v="1"/>
    <s v="3hour44min"/>
    <n v="0.15555555555555556"/>
  </r>
  <r>
    <d v="2024-07-19T00:00:00"/>
    <n v="4"/>
    <x v="3"/>
    <n v="13"/>
    <n v="5669"/>
    <n v="4"/>
    <s v="4hour23min"/>
    <n v="0.18263888888888888"/>
  </r>
  <r>
    <d v="2024-07-20T00:00:00"/>
    <n v="4"/>
    <x v="2"/>
    <n v="9"/>
    <n v="4433"/>
    <n v="4"/>
    <s v="18hour53min"/>
    <n v="0.78680555555555554"/>
  </r>
  <r>
    <d v="2024-07-21T00:00:00"/>
    <n v="3"/>
    <x v="2"/>
    <n v="5"/>
    <n v="1702"/>
    <n v="3"/>
    <s v="5hour31min"/>
    <n v="0.2298611111111111"/>
  </r>
  <r>
    <d v="2024-07-22T00:00:00"/>
    <n v="3"/>
    <x v="2"/>
    <n v="5"/>
    <n v="2338"/>
    <n v="3"/>
    <s v="6hour5min"/>
    <n v="0.25347222222222221"/>
  </r>
  <r>
    <d v="2024-07-23T00:00:00"/>
    <n v="2"/>
    <x v="1"/>
    <n v="3"/>
    <n v="794"/>
    <n v="2"/>
    <s v="0hour30min"/>
    <n v="2.0833333333333332E-2"/>
  </r>
  <r>
    <d v="2024-07-24T00:00:00"/>
    <n v="2"/>
    <x v="1"/>
    <n v="3"/>
    <n v="501"/>
    <n v="2"/>
    <s v="3hour5min"/>
    <n v="0.12847222222222221"/>
  </r>
  <r>
    <d v="2024-07-25T00:00:00"/>
    <n v="3"/>
    <x v="1"/>
    <n v="4"/>
    <n v="1333"/>
    <n v="3"/>
    <s v="3hour3min"/>
    <n v="0.12708333333333333"/>
  </r>
  <r>
    <d v="2024-07-26T00:00:00"/>
    <n v="5"/>
    <x v="4"/>
    <n v="9"/>
    <n v="2316"/>
    <n v="5"/>
    <s v="6hour51min"/>
    <n v="0.28541666666666665"/>
  </r>
  <r>
    <d v="2024-07-27T00:00:00"/>
    <n v="2"/>
    <x v="1"/>
    <n v="6"/>
    <n v="2258"/>
    <n v="2"/>
    <s v="17hour44min"/>
    <n v="0.73888888888888893"/>
  </r>
  <r>
    <d v="2024-07-28T00:00:00"/>
    <n v="3"/>
    <x v="2"/>
    <n v="7"/>
    <n v="2761"/>
    <n v="3"/>
    <s v="11hour31min"/>
    <n v="0.47986111111111113"/>
  </r>
  <r>
    <d v="2024-07-29T00:00:00"/>
    <n v="1"/>
    <x v="0"/>
    <n v="3"/>
    <n v="1009"/>
    <n v="1"/>
    <s v="0hour30min"/>
    <n v="2.0833333333333332E-2"/>
  </r>
  <r>
    <d v="2024-07-30T00:00:00"/>
    <n v="2"/>
    <x v="1"/>
    <n v="6"/>
    <n v="1872"/>
    <n v="2"/>
    <s v="3hour18min"/>
    <n v="0.13750000000000001"/>
  </r>
  <r>
    <d v="2024-08-01T00:00:00"/>
    <n v="3"/>
    <x v="2"/>
    <n v="6"/>
    <n v="2489"/>
    <n v="3"/>
    <s v="5hour9min"/>
    <n v="0.21458333333333332"/>
  </r>
  <r>
    <d v="2024-08-02T00:00:00"/>
    <n v="2"/>
    <x v="1"/>
    <n v="3"/>
    <n v="1355"/>
    <n v="2"/>
    <s v="0hour41min"/>
    <n v="2.8472222222222222E-2"/>
  </r>
  <r>
    <d v="2024-08-03T00:00:00"/>
    <n v="5"/>
    <x v="4"/>
    <n v="11"/>
    <n v="3526"/>
    <n v="5"/>
    <s v="10hour5min"/>
    <n v="0.4201388888888889"/>
  </r>
  <r>
    <d v="2024-08-04T00:00:00"/>
    <n v="5"/>
    <x v="3"/>
    <n v="13"/>
    <n v="4284"/>
    <n v="5"/>
    <s v="9hour39min"/>
    <n v="0.40208333333333335"/>
  </r>
  <r>
    <d v="2024-08-05T00:00:00"/>
    <n v="7"/>
    <x v="2"/>
    <n v="19"/>
    <n v="6202"/>
    <n v="7"/>
    <s v="28hour43min"/>
    <n v="0.19652777777777786"/>
  </r>
  <r>
    <d v="2024-08-06T00:00:00"/>
    <n v="2"/>
    <x v="0"/>
    <n v="5"/>
    <n v="1848"/>
    <n v="2"/>
    <s v="7hour22min"/>
    <n v="0.30694444444444446"/>
  </r>
  <r>
    <d v="2024-08-07T00:00:00"/>
    <n v="4"/>
    <x v="2"/>
    <n v="7"/>
    <n v="2532"/>
    <n v="4"/>
    <s v="15hour23min"/>
    <n v="0.64097222222222228"/>
  </r>
  <r>
    <d v="2024-08-08T00:00:00"/>
    <n v="7"/>
    <x v="4"/>
    <n v="16"/>
    <n v="6393"/>
    <n v="7"/>
    <s v="37hour45min"/>
    <n v="0.57291666666666674"/>
  </r>
  <r>
    <d v="2024-08-09T00:00:00"/>
    <n v="6"/>
    <x v="6"/>
    <n v="16"/>
    <n v="6761"/>
    <n v="6"/>
    <s v="21hour28min"/>
    <n v="0.89444444444444449"/>
  </r>
  <r>
    <d v="2024-08-10T00:00:00"/>
    <n v="4"/>
    <x v="3"/>
    <n v="9"/>
    <n v="2490"/>
    <n v="4"/>
    <s v="8hour48min"/>
    <n v="0.36666666666666664"/>
  </r>
  <r>
    <d v="2024-08-11T00:00:00"/>
    <n v="1"/>
    <x v="0"/>
    <n v="2"/>
    <n v="1040"/>
    <n v="1"/>
    <s v="2hour2min"/>
    <n v="8.4722222222222227E-2"/>
  </r>
  <r>
    <d v="2024-08-12T00:00:00"/>
    <n v="2"/>
    <x v="1"/>
    <n v="8"/>
    <n v="3494"/>
    <n v="2"/>
    <s v="10hour15min"/>
    <n v="0.42708333333333331"/>
  </r>
  <r>
    <d v="2024-08-13T00:00:00"/>
    <n v="4"/>
    <x v="3"/>
    <n v="6"/>
    <n v="2187"/>
    <n v="4"/>
    <s v="4hour44min"/>
    <n v="0.19722222222222222"/>
  </r>
  <r>
    <d v="2024-08-14T00:00:00"/>
    <n v="3"/>
    <x v="2"/>
    <n v="7"/>
    <n v="2298"/>
    <n v="3"/>
    <s v="23hour38min"/>
    <n v="0.98472222222222228"/>
  </r>
  <r>
    <d v="2024-08-15T00:00:00"/>
    <n v="5"/>
    <x v="3"/>
    <n v="7"/>
    <n v="2544"/>
    <n v="5"/>
    <s v="6hour8min"/>
    <n v="0.25555555555555554"/>
  </r>
  <r>
    <d v="2024-08-16T00:00:00"/>
    <n v="4"/>
    <x v="2"/>
    <n v="8"/>
    <n v="3044"/>
    <n v="4"/>
    <s v="16hour19min"/>
    <n v="0.67986111111111114"/>
  </r>
  <r>
    <d v="2024-08-17T00:00:00"/>
    <n v="4"/>
    <x v="3"/>
    <n v="7"/>
    <n v="2927"/>
    <n v="4"/>
    <s v="5hour47min"/>
    <n v="0.24097222222222223"/>
  </r>
  <r>
    <d v="2024-08-18T00:00:00"/>
    <n v="2"/>
    <x v="1"/>
    <n v="4"/>
    <n v="1799"/>
    <n v="2"/>
    <s v="10hour40min"/>
    <n v="0.44444444444444442"/>
  </r>
  <r>
    <d v="2024-08-19T00:00:00"/>
    <n v="3"/>
    <x v="2"/>
    <n v="7"/>
    <n v="2255"/>
    <n v="3"/>
    <s v="0hour50min"/>
    <n v="3.4722222222222224E-2"/>
  </r>
  <r>
    <d v="2024-08-20T00:00:00"/>
    <n v="4"/>
    <x v="3"/>
    <n v="8"/>
    <n v="2565"/>
    <n v="4"/>
    <s v="5hour36min"/>
    <n v="0.23333333333333334"/>
  </r>
  <r>
    <d v="2024-08-21T00:00:00"/>
    <n v="4"/>
    <x v="3"/>
    <n v="7"/>
    <n v="1919"/>
    <n v="4"/>
    <s v="2hour17min"/>
    <n v="9.5138888888888884E-2"/>
  </r>
  <r>
    <d v="2024-08-22T00:00:00"/>
    <n v="4"/>
    <x v="2"/>
    <n v="6"/>
    <n v="1727"/>
    <n v="4"/>
    <s v="7hour41min"/>
    <n v="0.32013888888888886"/>
  </r>
  <r>
    <d v="2024-08-23T00:00:00"/>
    <n v="4"/>
    <x v="3"/>
    <n v="11"/>
    <n v="3709"/>
    <n v="4"/>
    <s v="6hour5min"/>
    <n v="0.25347222222222221"/>
  </r>
  <r>
    <d v="2024-08-24T00:00:00"/>
    <n v="3"/>
    <x v="1"/>
    <n v="8"/>
    <n v="2063"/>
    <n v="3"/>
    <s v="15hour53min"/>
    <n v="0.66180555555555554"/>
  </r>
  <r>
    <d v="2024-08-25T00:00:00"/>
    <n v="4"/>
    <x v="2"/>
    <n v="15"/>
    <n v="5594"/>
    <n v="4"/>
    <s v="40hour51min"/>
    <n v="0.70208333333333339"/>
  </r>
  <r>
    <d v="2024-08-26T00:00:00"/>
    <n v="2"/>
    <x v="1"/>
    <n v="5"/>
    <n v="1468"/>
    <n v="2"/>
    <s v="1hour46min"/>
    <n v="7.3611111111111113E-2"/>
  </r>
  <r>
    <d v="2024-08-27T00:00:00"/>
    <n v="10"/>
    <x v="7"/>
    <n v="22"/>
    <n v="7177"/>
    <n v="10"/>
    <s v="13hour41min"/>
    <n v="0.57013888888888886"/>
  </r>
  <r>
    <d v="2024-08-28T00:00:00"/>
    <n v="4"/>
    <x v="1"/>
    <n v="9"/>
    <n v="3904"/>
    <n v="4"/>
    <s v="17hour50min"/>
    <n v="0.74305555555555558"/>
  </r>
  <r>
    <d v="2024-08-29T00:00:00"/>
    <n v="2"/>
    <x v="1"/>
    <n v="7"/>
    <n v="2632"/>
    <n v="2"/>
    <s v="10hour37min"/>
    <n v="0.44236111111111109"/>
  </r>
  <r>
    <d v="2024-08-30T00:00:00"/>
    <n v="4"/>
    <x v="3"/>
    <n v="13"/>
    <n v="4235"/>
    <n v="4"/>
    <s v="23hour52min"/>
    <n v="0.99444444444444446"/>
  </r>
  <r>
    <d v="2024-08-31T00:00:00"/>
    <n v="4"/>
    <x v="2"/>
    <n v="5"/>
    <n v="2045"/>
    <n v="4"/>
    <s v="6hour22min"/>
    <n v="0.26527777777777778"/>
  </r>
  <r>
    <d v="2024-09-01T00:00:00"/>
    <n v="3"/>
    <x v="2"/>
    <n v="10"/>
    <n v="4095"/>
    <n v="3"/>
    <s v="10hour37min"/>
    <n v="0.44236111111111109"/>
  </r>
  <r>
    <d v="2024-09-02T00:00:00"/>
    <n v="2"/>
    <x v="0"/>
    <n v="5"/>
    <n v="1712"/>
    <n v="2"/>
    <s v="2hour59min"/>
    <n v="0.12430555555555556"/>
  </r>
  <r>
    <d v="2024-09-03T00:00:00"/>
    <n v="6"/>
    <x v="4"/>
    <n v="9"/>
    <n v="3533"/>
    <n v="6"/>
    <s v="15hour6min"/>
    <n v="0.62916666666666665"/>
  </r>
  <r>
    <d v="2024-09-04T00:00:00"/>
    <n v="6"/>
    <x v="3"/>
    <n v="9"/>
    <n v="3266"/>
    <n v="6"/>
    <s v="9hour22min"/>
    <n v="0.39027777777777778"/>
  </r>
  <r>
    <d v="2024-09-05T00:00:00"/>
    <n v="1"/>
    <x v="0"/>
    <n v="3"/>
    <n v="1085"/>
    <n v="1"/>
    <s v="3hour15min"/>
    <n v="0.13541666666666666"/>
  </r>
  <r>
    <d v="2024-09-08T00:00:00"/>
    <n v="6"/>
    <x v="4"/>
    <n v="11"/>
    <n v="3642"/>
    <n v="6"/>
    <s v="15hour28min"/>
    <n v="0.64444444444444449"/>
  </r>
  <r>
    <d v="2024-09-09T00:00:00"/>
    <n v="3"/>
    <x v="2"/>
    <n v="8"/>
    <n v="2980"/>
    <n v="3"/>
    <s v="13hour0min"/>
    <n v="0.54166666666666663"/>
  </r>
  <r>
    <d v="2024-09-10T00:00:00"/>
    <n v="2"/>
    <x v="1"/>
    <n v="4"/>
    <n v="1177"/>
    <n v="2"/>
    <s v="1hour19min"/>
    <n v="5.486111111111111E-2"/>
  </r>
  <r>
    <d v="2024-09-11T00:00:00"/>
    <n v="4"/>
    <x v="3"/>
    <n v="12"/>
    <n v="5142"/>
    <n v="4"/>
    <s v="11hour16min"/>
    <n v="0.46944444444444444"/>
  </r>
  <r>
    <d v="2024-09-12T00:00:00"/>
    <n v="2"/>
    <x v="1"/>
    <n v="6"/>
    <n v="2338"/>
    <n v="2"/>
    <s v="7hour50min"/>
    <n v="0.3263888888888889"/>
  </r>
  <r>
    <d v="2024-09-13T00:00:00"/>
    <n v="4"/>
    <x v="3"/>
    <n v="8"/>
    <n v="2159"/>
    <n v="4"/>
    <s v="5hour19min"/>
    <n v="0.22152777777777777"/>
  </r>
  <r>
    <d v="2024-09-14T00:00:00"/>
    <n v="1"/>
    <x v="0"/>
    <n v="1"/>
    <n v="264"/>
    <n v="1"/>
    <s v="0hour17min"/>
    <n v="1.1805555555555555E-2"/>
  </r>
  <r>
    <d v="2024-09-15T00:00:00"/>
    <n v="5"/>
    <x v="3"/>
    <n v="14"/>
    <n v="4840"/>
    <n v="5"/>
    <s v="7hour25min"/>
    <n v="0.30902777777777779"/>
  </r>
  <r>
    <d v="2024-09-16T00:00:00"/>
    <n v="3"/>
    <x v="2"/>
    <n v="5"/>
    <n v="1968"/>
    <n v="3"/>
    <s v="2hour39min"/>
    <n v="0.11041666666666666"/>
  </r>
  <r>
    <d v="2024-09-17T00:00:00"/>
    <n v="1"/>
    <x v="0"/>
    <n v="2"/>
    <n v="1239"/>
    <n v="1"/>
    <s v="1hour0min"/>
    <n v="4.1666666666666664E-2"/>
  </r>
  <r>
    <d v="2024-09-18T00:00:00"/>
    <n v="4"/>
    <x v="3"/>
    <n v="10"/>
    <n v="3461"/>
    <n v="4"/>
    <s v="13hour31min"/>
    <n v="0.56319444444444444"/>
  </r>
  <r>
    <d v="2024-09-19T00:00:00"/>
    <n v="4"/>
    <x v="1"/>
    <n v="10"/>
    <n v="3169"/>
    <n v="4"/>
    <s v="14hour21min"/>
    <n v="0.59791666666666665"/>
  </r>
  <r>
    <d v="2024-09-20T00:00:00"/>
    <n v="3"/>
    <x v="1"/>
    <n v="4"/>
    <n v="1101"/>
    <n v="3"/>
    <s v="9hour42min"/>
    <n v="0.40416666666666667"/>
  </r>
  <r>
    <d v="2024-09-21T00:00:00"/>
    <n v="4"/>
    <x v="2"/>
    <n v="14"/>
    <n v="5087"/>
    <n v="4"/>
    <s v="17hour52min"/>
    <n v="0.74444444444444446"/>
  </r>
  <r>
    <d v="2024-09-22T00:00:00"/>
    <n v="8"/>
    <x v="6"/>
    <n v="20"/>
    <n v="8163"/>
    <n v="8"/>
    <s v="14hour43min"/>
    <n v="0.61319444444444449"/>
  </r>
  <r>
    <d v="2024-09-23T00:00:00"/>
    <n v="6"/>
    <x v="4"/>
    <n v="18"/>
    <n v="6292"/>
    <n v="6"/>
    <s v="22hour20min"/>
    <n v="0.93055555555555558"/>
  </r>
  <r>
    <d v="2024-09-24T00:00:00"/>
    <n v="1"/>
    <x v="0"/>
    <n v="1"/>
    <n v="185"/>
    <n v="1"/>
    <s v="4hour44min"/>
    <n v="0.19722222222222222"/>
  </r>
  <r>
    <d v="2024-09-25T00:00:00"/>
    <n v="1"/>
    <x v="0"/>
    <n v="2"/>
    <n v="1059"/>
    <n v="1"/>
    <s v="3hour16min"/>
    <n v="0.1361111111111111"/>
  </r>
  <r>
    <d v="2024-09-26T00:00:00"/>
    <n v="4"/>
    <x v="3"/>
    <n v="6"/>
    <n v="2071"/>
    <n v="4"/>
    <s v="14hour58min"/>
    <n v="0.62361111111111112"/>
  </r>
  <r>
    <d v="2024-09-27T00:00:00"/>
    <n v="5"/>
    <x v="3"/>
    <n v="17"/>
    <n v="6774"/>
    <n v="5"/>
    <s v="6hour27min"/>
    <n v="0.26874999999999999"/>
  </r>
  <r>
    <d v="2024-09-28T00:00:00"/>
    <n v="4"/>
    <x v="3"/>
    <n v="10"/>
    <n v="4655"/>
    <n v="4"/>
    <s v="20hour1min"/>
    <n v="0.83402777777777781"/>
  </r>
  <r>
    <d v="2024-09-29T00:00:00"/>
    <n v="3"/>
    <x v="2"/>
    <n v="6"/>
    <n v="1254"/>
    <n v="3"/>
    <s v="11hour55min"/>
    <n v="0.49652777777777779"/>
  </r>
  <r>
    <d v="2024-09-30T00:00:00"/>
    <n v="5"/>
    <x v="4"/>
    <n v="8"/>
    <n v="3074"/>
    <n v="5"/>
    <s v="8hour49min"/>
    <n v="0.36736111111111114"/>
  </r>
  <r>
    <d v="2024-10-01T00:00:00"/>
    <n v="2"/>
    <x v="1"/>
    <n v="4"/>
    <n v="1414"/>
    <n v="2"/>
    <s v="5hour14min"/>
    <n v="0.21805555555555556"/>
  </r>
  <r>
    <d v="2024-10-02T00:00:00"/>
    <n v="3"/>
    <x v="1"/>
    <n v="6"/>
    <n v="1665"/>
    <n v="3"/>
    <s v="3hour17min"/>
    <n v="0.13680555555555557"/>
  </r>
  <r>
    <d v="2024-10-03T00:00:00"/>
    <n v="3"/>
    <x v="2"/>
    <n v="6"/>
    <n v="2254"/>
    <n v="3"/>
    <s v="7hour33min"/>
    <n v="0.31458333333333333"/>
  </r>
  <r>
    <d v="2024-10-04T00:00:00"/>
    <n v="2"/>
    <x v="1"/>
    <n v="9"/>
    <n v="3054"/>
    <n v="2"/>
    <s v="7hour38min"/>
    <n v="0.31805555555555554"/>
  </r>
  <r>
    <d v="2024-10-05T00:00:00"/>
    <n v="1"/>
    <x v="0"/>
    <n v="2"/>
    <n v="733"/>
    <n v="1"/>
    <s v="0hour36min"/>
    <n v="2.5000000000000001E-2"/>
  </r>
  <r>
    <d v="2024-10-06T00:00:00"/>
    <n v="4"/>
    <x v="2"/>
    <n v="13"/>
    <n v="5313"/>
    <n v="4"/>
    <s v="3hour30min"/>
    <n v="0.14583333333333334"/>
  </r>
  <r>
    <d v="2024-10-07T00:00:00"/>
    <n v="3"/>
    <x v="2"/>
    <n v="6"/>
    <n v="1997"/>
    <n v="3"/>
    <s v="16hour14min"/>
    <n v="0.67638888888888893"/>
  </r>
  <r>
    <d v="2024-10-08T00:00:00"/>
    <n v="8"/>
    <x v="6"/>
    <n v="22"/>
    <n v="8016"/>
    <n v="8"/>
    <s v="45hour47min"/>
    <n v="0.90763888888888888"/>
  </r>
  <r>
    <d v="2024-10-09T00:00:00"/>
    <n v="4"/>
    <x v="3"/>
    <n v="9"/>
    <n v="2630"/>
    <n v="4"/>
    <s v="20hour8min"/>
    <n v="0.83888888888888891"/>
  </r>
  <r>
    <d v="2024-10-10T00:00:00"/>
    <n v="2"/>
    <x v="1"/>
    <n v="3"/>
    <n v="956"/>
    <n v="2"/>
    <s v="3hour15min"/>
    <n v="0.13541666666666666"/>
  </r>
  <r>
    <d v="2024-10-11T00:00:00"/>
    <n v="4"/>
    <x v="3"/>
    <n v="9"/>
    <n v="2453"/>
    <n v="4"/>
    <s v="19hour19min"/>
    <n v="0.80486111111111114"/>
  </r>
  <r>
    <d v="2024-10-12T00:00:00"/>
    <n v="1"/>
    <x v="0"/>
    <n v="4"/>
    <n v="1269"/>
    <n v="1"/>
    <s v="1hour44min"/>
    <n v="7.2222222222222215E-2"/>
  </r>
  <r>
    <d v="2024-10-13T00:00:00"/>
    <n v="3"/>
    <x v="2"/>
    <n v="9"/>
    <n v="2988"/>
    <n v="3"/>
    <s v="27hour27min"/>
    <n v="0.14375000000000004"/>
  </r>
  <r>
    <d v="2024-10-14T00:00:00"/>
    <n v="3"/>
    <x v="2"/>
    <n v="9"/>
    <n v="2579"/>
    <n v="3"/>
    <s v="3hour48min"/>
    <n v="0.15833333333333333"/>
  </r>
  <r>
    <d v="2024-10-15T00:00:00"/>
    <n v="3"/>
    <x v="2"/>
    <n v="6"/>
    <n v="1994"/>
    <n v="3"/>
    <s v="2hour57min"/>
    <n v="0.12291666666666666"/>
  </r>
  <r>
    <d v="2024-10-16T00:00:00"/>
    <n v="2"/>
    <x v="0"/>
    <n v="3"/>
    <n v="1125"/>
    <n v="2"/>
    <s v="3hour47min"/>
    <n v="0.15763888888888888"/>
  </r>
  <r>
    <d v="2024-10-17T00:00:00"/>
    <n v="4"/>
    <x v="3"/>
    <n v="12"/>
    <n v="4043"/>
    <n v="4"/>
    <s v="16hour1min"/>
    <n v="0.66736111111111107"/>
  </r>
  <r>
    <d v="2024-10-18T00:00:00"/>
    <n v="4"/>
    <x v="2"/>
    <n v="9"/>
    <n v="3230"/>
    <n v="4"/>
    <s v="18hour30min"/>
    <n v="0.77083333333333337"/>
  </r>
  <r>
    <d v="2024-10-19T00:00:00"/>
    <n v="9"/>
    <x v="4"/>
    <n v="17"/>
    <n v="6344"/>
    <n v="9"/>
    <s v="10hour11min"/>
    <n v="0.42430555555555555"/>
  </r>
  <r>
    <d v="2024-10-20T00:00:00"/>
    <n v="1"/>
    <x v="0"/>
    <n v="5"/>
    <n v="2781"/>
    <n v="1"/>
    <s v="5hour40min"/>
    <n v="0.2361111111111111"/>
  </r>
  <r>
    <d v="2024-10-21T00:00:00"/>
    <n v="2"/>
    <x v="1"/>
    <n v="3"/>
    <n v="601"/>
    <n v="2"/>
    <s v="2hour49min"/>
    <n v="0.11736111111111111"/>
  </r>
  <r>
    <d v="2024-10-22T00:00:00"/>
    <n v="3"/>
    <x v="2"/>
    <n v="5"/>
    <n v="2060"/>
    <n v="3"/>
    <s v="3hour52min"/>
    <n v="0.16111111111111112"/>
  </r>
  <r>
    <d v="2024-10-23T00:00:00"/>
    <n v="4"/>
    <x v="2"/>
    <n v="9"/>
    <n v="3521"/>
    <n v="4"/>
    <s v="13hour31min"/>
    <n v="0.56319444444444444"/>
  </r>
  <r>
    <d v="2024-10-24T00:00:00"/>
    <n v="3"/>
    <x v="2"/>
    <n v="6"/>
    <n v="2196"/>
    <n v="3"/>
    <s v="6hour58min"/>
    <n v="0.2902777777777778"/>
  </r>
  <r>
    <d v="2024-10-25T00:00:00"/>
    <n v="2"/>
    <x v="1"/>
    <n v="3"/>
    <n v="1082"/>
    <n v="2"/>
    <s v="4hour8min"/>
    <n v="0.17222222222222222"/>
  </r>
  <r>
    <d v="2024-10-26T00:00:00"/>
    <n v="3"/>
    <x v="2"/>
    <n v="8"/>
    <n v="2979"/>
    <n v="3"/>
    <s v="19hour54min"/>
    <n v="0.82916666666666672"/>
  </r>
  <r>
    <d v="2024-10-27T00:00:00"/>
    <n v="1"/>
    <x v="0"/>
    <n v="1"/>
    <n v="389"/>
    <n v="1"/>
    <s v="0hour38min"/>
    <n v="2.6388888888888889E-2"/>
  </r>
  <r>
    <d v="2024-10-28T00:00:00"/>
    <n v="4"/>
    <x v="2"/>
    <n v="7"/>
    <n v="2328"/>
    <n v="4"/>
    <s v="4hour43min"/>
    <n v="0.19652777777777777"/>
  </r>
  <r>
    <d v="2024-10-29T00:00:00"/>
    <n v="3"/>
    <x v="1"/>
    <n v="7"/>
    <n v="2303"/>
    <n v="3"/>
    <s v="2hour30min"/>
    <n v="0.10416666666666667"/>
  </r>
  <r>
    <d v="2024-10-30T00:00:00"/>
    <n v="6"/>
    <x v="6"/>
    <n v="11"/>
    <n v="4416"/>
    <n v="6"/>
    <s v="11hour11min"/>
    <n v="0.46597222222222223"/>
  </r>
  <r>
    <d v="2024-10-31T00:00:00"/>
    <n v="1"/>
    <x v="0"/>
    <n v="2"/>
    <n v="1136"/>
    <n v="1"/>
    <s v="3hour34min"/>
    <n v="0.14861111111111111"/>
  </r>
  <r>
    <d v="2024-11-01T00:00:00"/>
    <n v="4"/>
    <x v="3"/>
    <n v="10"/>
    <n v="4705"/>
    <n v="4"/>
    <s v="13hour56min"/>
    <n v="0.5805555555555556"/>
  </r>
  <r>
    <d v="2024-11-02T00:00:00"/>
    <n v="4"/>
    <x v="3"/>
    <n v="9"/>
    <n v="3115"/>
    <n v="4"/>
    <s v="11hour37min"/>
    <n v="0.48402777777777778"/>
  </r>
  <r>
    <d v="2024-11-03T00:00:00"/>
    <n v="5"/>
    <x v="2"/>
    <n v="9"/>
    <n v="2726"/>
    <n v="5"/>
    <s v="5hour49min"/>
    <n v="0.24236111111111111"/>
  </r>
  <r>
    <d v="2024-11-04T00:00:00"/>
    <n v="4"/>
    <x v="2"/>
    <n v="8"/>
    <n v="4212"/>
    <n v="4"/>
    <s v="24hour58min"/>
    <n v="4.0277777777777857E-2"/>
  </r>
  <r>
    <d v="2024-11-05T00:00:00"/>
    <n v="5"/>
    <x v="3"/>
    <n v="12"/>
    <n v="3588"/>
    <n v="5"/>
    <s v="4hour48min"/>
    <n v="0.2"/>
  </r>
  <r>
    <d v="2024-11-06T00:00:00"/>
    <n v="7"/>
    <x v="4"/>
    <n v="18"/>
    <n v="6903"/>
    <n v="7"/>
    <s v="21hour11min"/>
    <n v="0.88263888888888886"/>
  </r>
  <r>
    <d v="2024-11-07T00:00:00"/>
    <n v="1"/>
    <x v="0"/>
    <n v="2"/>
    <n v="747"/>
    <n v="1"/>
    <s v="3hour46min"/>
    <n v="0.15694444444444444"/>
  </r>
  <r>
    <d v="2024-11-08T00:00:00"/>
    <n v="4"/>
    <x v="2"/>
    <n v="11"/>
    <n v="4169"/>
    <n v="4"/>
    <s v="5hour25min"/>
    <n v="0.22569444444444445"/>
  </r>
  <r>
    <d v="2024-11-09T00:00:00"/>
    <n v="2"/>
    <x v="1"/>
    <n v="4"/>
    <n v="751"/>
    <n v="2"/>
    <s v="3hour40min"/>
    <n v="0.15277777777777779"/>
  </r>
  <r>
    <d v="2024-11-10T00:00:00"/>
    <n v="2"/>
    <x v="1"/>
    <n v="2"/>
    <n v="656"/>
    <n v="2"/>
    <s v="1hour38min"/>
    <n v="6.805555555555555E-2"/>
  </r>
  <r>
    <d v="2024-11-11T00:00:00"/>
    <n v="4"/>
    <x v="1"/>
    <n v="11"/>
    <n v="4188"/>
    <n v="4"/>
    <s v="23hour31min"/>
    <n v="0.97986111111111107"/>
  </r>
  <r>
    <d v="2024-11-12T00:00:00"/>
    <n v="1"/>
    <x v="0"/>
    <n v="5"/>
    <n v="1880"/>
    <n v="1"/>
    <s v="4hour55min"/>
    <n v="0.2048611111111111"/>
  </r>
  <r>
    <d v="2024-11-13T00:00:00"/>
    <n v="6"/>
    <x v="6"/>
    <n v="14"/>
    <n v="5950"/>
    <n v="6"/>
    <s v="15hour29min"/>
    <n v="0.64513888888888893"/>
  </r>
  <r>
    <d v="2024-11-14T00:00:00"/>
    <n v="3"/>
    <x v="1"/>
    <n v="6"/>
    <n v="2184"/>
    <n v="3"/>
    <s v="15hour13min"/>
    <n v="0.63402777777777775"/>
  </r>
  <r>
    <d v="2024-11-15T00:00:00"/>
    <n v="2"/>
    <x v="1"/>
    <n v="3"/>
    <n v="1037"/>
    <n v="2"/>
    <s v="4hour30min"/>
    <n v="0.1875"/>
  </r>
  <r>
    <d v="2024-11-16T00:00:00"/>
    <n v="9"/>
    <x v="6"/>
    <n v="23"/>
    <n v="8444"/>
    <n v="9"/>
    <s v="20hour22min"/>
    <n v="0.84861111111111109"/>
  </r>
  <r>
    <d v="2024-11-17T00:00:00"/>
    <n v="5"/>
    <x v="2"/>
    <n v="9"/>
    <n v="4373"/>
    <n v="5"/>
    <s v="21hour20min"/>
    <n v="0.88888888888888884"/>
  </r>
  <r>
    <d v="2024-11-18T00:00:00"/>
    <n v="3"/>
    <x v="1"/>
    <n v="7"/>
    <n v="3005"/>
    <n v="3"/>
    <s v="11hour34min"/>
    <n v="0.48194444444444445"/>
  </r>
  <r>
    <d v="2024-11-19T00:00:00"/>
    <n v="3"/>
    <x v="1"/>
    <n v="8"/>
    <n v="2203"/>
    <n v="3"/>
    <s v="4hour0min"/>
    <n v="0.16666666666666666"/>
  </r>
  <r>
    <d v="2024-11-20T00:00:00"/>
    <n v="5"/>
    <x v="4"/>
    <n v="15"/>
    <n v="4636"/>
    <n v="5"/>
    <s v="27hour4min"/>
    <n v="0.12777777777777777"/>
  </r>
  <r>
    <d v="2024-11-21T00:00:00"/>
    <n v="3"/>
    <x v="0"/>
    <n v="6"/>
    <n v="2855"/>
    <n v="3"/>
    <s v="14hour54min"/>
    <n v="0.62083333333333335"/>
  </r>
  <r>
    <d v="2024-11-22T00:00:00"/>
    <n v="7"/>
    <x v="4"/>
    <n v="19"/>
    <n v="6314"/>
    <n v="7"/>
    <s v="21hour17min"/>
    <n v="0.88680555555555551"/>
  </r>
  <r>
    <d v="2024-11-23T00:00:00"/>
    <n v="3"/>
    <x v="2"/>
    <n v="9"/>
    <n v="3635"/>
    <n v="3"/>
    <s v="8hour13min"/>
    <n v="0.34236111111111112"/>
  </r>
  <r>
    <d v="2024-11-25T00:00:00"/>
    <n v="4"/>
    <x v="2"/>
    <n v="10"/>
    <n v="3823"/>
    <n v="4"/>
    <s v="28hour20min"/>
    <n v="0.18055555555555558"/>
  </r>
  <r>
    <d v="2024-11-26T00:00:00"/>
    <n v="3"/>
    <x v="2"/>
    <n v="4"/>
    <n v="1354"/>
    <n v="3"/>
    <s v="3hour7min"/>
    <n v="0.12986111111111112"/>
  </r>
  <r>
    <d v="2024-11-27T00:00:00"/>
    <n v="2"/>
    <x v="1"/>
    <n v="3"/>
    <n v="1498"/>
    <n v="2"/>
    <s v="4hour33min"/>
    <n v="0.18958333333333333"/>
  </r>
  <r>
    <d v="2024-11-28T00:00:00"/>
    <n v="2"/>
    <x v="1"/>
    <n v="8"/>
    <n v="2308"/>
    <n v="2"/>
    <s v="3hour9min"/>
    <n v="0.13125000000000001"/>
  </r>
  <r>
    <d v="2024-11-29T00:00:00"/>
    <n v="5"/>
    <x v="4"/>
    <n v="9"/>
    <n v="3836"/>
    <n v="5"/>
    <s v="3hour21min"/>
    <n v="0.13958333333333334"/>
  </r>
  <r>
    <d v="2024-11-30T00:00:00"/>
    <n v="8"/>
    <x v="6"/>
    <n v="16"/>
    <n v="4781"/>
    <n v="8"/>
    <s v="13hour41min"/>
    <n v="0.57013888888888886"/>
  </r>
  <r>
    <d v="2024-12-01T00:00:00"/>
    <n v="4"/>
    <x v="2"/>
    <n v="7"/>
    <n v="2805"/>
    <n v="4"/>
    <s v="18hour58min"/>
    <n v="0.79027777777777775"/>
  </r>
  <r>
    <d v="2024-12-02T00:00:00"/>
    <n v="7"/>
    <x v="4"/>
    <n v="20"/>
    <n v="8091"/>
    <n v="7"/>
    <s v="43hour56min"/>
    <n v="0.83055555555555549"/>
  </r>
  <r>
    <d v="2024-12-03T00:00:00"/>
    <n v="4"/>
    <x v="3"/>
    <n v="16"/>
    <n v="6719"/>
    <n v="4"/>
    <s v="48hour55min"/>
    <n v="3.8194444444444642E-2"/>
  </r>
  <r>
    <d v="2024-12-04T00:00:00"/>
    <n v="4"/>
    <x v="2"/>
    <n v="7"/>
    <n v="3116"/>
    <n v="4"/>
    <s v="15hour2min"/>
    <n v="0.62638888888888888"/>
  </r>
  <r>
    <d v="2024-12-05T00:00:00"/>
    <n v="8"/>
    <x v="6"/>
    <n v="17"/>
    <n v="5501"/>
    <n v="8"/>
    <s v="16hour19min"/>
    <n v="0.67986111111111114"/>
  </r>
  <r>
    <d v="2024-12-06T00:00:00"/>
    <n v="5"/>
    <x v="3"/>
    <n v="15"/>
    <n v="5061"/>
    <n v="5"/>
    <s v="9hour55min"/>
    <n v="0.41319444444444442"/>
  </r>
  <r>
    <d v="2024-12-07T00:00:00"/>
    <n v="3"/>
    <x v="2"/>
    <n v="9"/>
    <n v="3534"/>
    <n v="3"/>
    <s v="8hour17min"/>
    <n v="0.34513888888888888"/>
  </r>
  <r>
    <d v="2024-12-08T00:00:00"/>
    <n v="1"/>
    <x v="0"/>
    <n v="1"/>
    <n v="799"/>
    <n v="1"/>
    <s v="0hour58min"/>
    <n v="4.027777777777778E-2"/>
  </r>
  <r>
    <d v="2024-12-09T00:00:00"/>
    <n v="7"/>
    <x v="4"/>
    <n v="17"/>
    <n v="5315"/>
    <n v="7"/>
    <s v="22hour19min"/>
    <n v="0.92986111111111114"/>
  </r>
  <r>
    <d v="2024-12-10T00:00:00"/>
    <n v="2"/>
    <x v="1"/>
    <n v="3"/>
    <n v="1035"/>
    <n v="2"/>
    <s v="0hour59min"/>
    <n v="4.0972222222222222E-2"/>
  </r>
  <r>
    <d v="2024-12-11T00:00:00"/>
    <n v="5"/>
    <x v="4"/>
    <n v="15"/>
    <n v="5969"/>
    <n v="5"/>
    <s v="22hour18min"/>
    <n v="0.9291666666666667"/>
  </r>
  <r>
    <d v="2024-12-12T00:00:00"/>
    <n v="6"/>
    <x v="4"/>
    <n v="13"/>
    <n v="4163"/>
    <n v="6"/>
    <s v="19hour43min"/>
    <n v="0.82152777777777775"/>
  </r>
  <r>
    <d v="2024-12-13T00:00:00"/>
    <n v="8"/>
    <x v="6"/>
    <n v="22"/>
    <n v="9144"/>
    <n v="8"/>
    <s v="25hour25min"/>
    <n v="5.9027777777777679E-2"/>
  </r>
  <r>
    <d v="2024-12-14T00:00:00"/>
    <n v="6"/>
    <x v="4"/>
    <n v="11"/>
    <n v="4800"/>
    <n v="6"/>
    <s v="14hour41min"/>
    <n v="0.6118055555555556"/>
  </r>
  <r>
    <d v="2024-12-15T00:00:00"/>
    <n v="4"/>
    <x v="3"/>
    <n v="10"/>
    <n v="3415"/>
    <n v="4"/>
    <s v="29hour28min"/>
    <n v="0.22777777777777786"/>
  </r>
  <r>
    <d v="2024-12-16T00:00:00"/>
    <n v="4"/>
    <x v="1"/>
    <n v="10"/>
    <n v="3015"/>
    <n v="4"/>
    <s v="10hour38min"/>
    <n v="0.44305555555555554"/>
  </r>
  <r>
    <d v="2024-12-17T00:00:00"/>
    <n v="4"/>
    <x v="2"/>
    <n v="7"/>
    <n v="2050"/>
    <n v="4"/>
    <s v="7hour32min"/>
    <n v="0.31388888888888888"/>
  </r>
  <r>
    <d v="2024-12-18T00:00:00"/>
    <n v="4"/>
    <x v="3"/>
    <n v="7"/>
    <n v="1892"/>
    <n v="4"/>
    <s v="3hour8min"/>
    <n v="0.13055555555555556"/>
  </r>
  <r>
    <d v="2024-12-19T00:00:00"/>
    <n v="3"/>
    <x v="2"/>
    <n v="8"/>
    <n v="2983"/>
    <n v="3"/>
    <s v="6hour4min"/>
    <n v="0.25277777777777777"/>
  </r>
  <r>
    <d v="2024-12-20T00:00:00"/>
    <n v="8"/>
    <x v="6"/>
    <n v="16"/>
    <n v="5470"/>
    <n v="8"/>
    <s v="35hour4min"/>
    <n v="0.46111111111111103"/>
  </r>
  <r>
    <d v="2024-12-21T00:00:00"/>
    <n v="5"/>
    <x v="3"/>
    <n v="10"/>
    <n v="3448"/>
    <n v="5"/>
    <s v="5hour21min"/>
    <n v="0.22291666666666668"/>
  </r>
  <r>
    <d v="2024-12-22T00:00:00"/>
    <n v="9"/>
    <x v="6"/>
    <n v="18"/>
    <n v="7046"/>
    <n v="9"/>
    <s v="20hour25min"/>
    <n v="0.85069444444444442"/>
  </r>
  <r>
    <d v="2024-12-23T00:00:00"/>
    <n v="1"/>
    <x v="0"/>
    <n v="2"/>
    <n v="665"/>
    <n v="1"/>
    <s v="8hour36min"/>
    <n v="0.35833333333333334"/>
  </r>
  <r>
    <d v="2024-12-24T00:00:00"/>
    <n v="5"/>
    <x v="3"/>
    <n v="9"/>
    <n v="2754"/>
    <n v="5"/>
    <s v="14hour20min"/>
    <n v="0.59722222222222221"/>
  </r>
  <r>
    <d v="2024-12-25T00:00:00"/>
    <n v="3"/>
    <x v="2"/>
    <n v="5"/>
    <n v="1944"/>
    <n v="3"/>
    <s v="3hour45min"/>
    <n v="0.15625"/>
  </r>
  <r>
    <d v="2024-12-26T00:00:00"/>
    <n v="6"/>
    <x v="4"/>
    <n v="13"/>
    <n v="6297"/>
    <n v="6"/>
    <s v="14hour26min"/>
    <n v="0.60138888888888886"/>
  </r>
  <r>
    <d v="2024-12-27T00:00:00"/>
    <n v="2"/>
    <x v="1"/>
    <n v="2"/>
    <n v="828"/>
    <n v="2"/>
    <s v="0hour39min"/>
    <n v="2.7083333333333334E-2"/>
  </r>
  <r>
    <d v="2024-12-28T00:00:00"/>
    <n v="5"/>
    <x v="3"/>
    <n v="9"/>
    <n v="2656"/>
    <n v="5"/>
    <s v="14hour2min"/>
    <n v="0.58472222222222225"/>
  </r>
  <r>
    <d v="2024-12-29T00:00:00"/>
    <n v="4"/>
    <x v="3"/>
    <n v="8"/>
    <n v="3192"/>
    <n v="4"/>
    <s v="20hour15min"/>
    <n v="0.84375"/>
  </r>
  <r>
    <d v="2024-12-30T00:00:00"/>
    <n v="3"/>
    <x v="2"/>
    <n v="7"/>
    <n v="2856"/>
    <n v="3"/>
    <s v="5hour37min"/>
    <n v="0.23402777777777778"/>
  </r>
  <r>
    <d v="2024-12-31T00:00:00"/>
    <n v="7"/>
    <x v="6"/>
    <n v="17"/>
    <n v="4490"/>
    <n v="7"/>
    <s v="12hour40min"/>
    <n v="0.52777777777777779"/>
  </r>
  <r>
    <d v="2025-01-01T00:00:00"/>
    <n v="6"/>
    <x v="4"/>
    <n v="15"/>
    <n v="4542"/>
    <n v="6"/>
    <s v="24hour21min"/>
    <n v="1.4583333333333393E-2"/>
  </r>
  <r>
    <d v="2025-01-02T00:00:00"/>
    <n v="5"/>
    <x v="3"/>
    <n v="15"/>
    <n v="4285"/>
    <n v="5"/>
    <s v="11hour29min"/>
    <n v="0.47847222222222224"/>
  </r>
  <r>
    <d v="2025-01-03T00:00:00"/>
    <n v="4"/>
    <x v="2"/>
    <n v="13"/>
    <n v="5733"/>
    <n v="4"/>
    <s v="37hour34min"/>
    <n v="0.56527777777777777"/>
  </r>
  <r>
    <d v="2025-01-04T00:00:00"/>
    <n v="3"/>
    <x v="1"/>
    <n v="8"/>
    <n v="2652"/>
    <n v="3"/>
    <s v="13hour7min"/>
    <n v="0.54652777777777772"/>
  </r>
  <r>
    <d v="2025-01-05T00:00:00"/>
    <n v="3"/>
    <x v="2"/>
    <n v="5"/>
    <n v="1938"/>
    <n v="3"/>
    <s v="6hour53min"/>
    <n v="0.28680555555555554"/>
  </r>
  <r>
    <d v="2025-01-06T00:00:00"/>
    <n v="6"/>
    <x v="3"/>
    <n v="12"/>
    <n v="4839"/>
    <n v="6"/>
    <s v="28hour46min"/>
    <n v="0.19861111111111107"/>
  </r>
  <r>
    <d v="2025-01-07T00:00:00"/>
    <n v="6"/>
    <x v="2"/>
    <n v="15"/>
    <n v="4092"/>
    <n v="6"/>
    <s v="19hour4min"/>
    <n v="0.7944444444444444"/>
  </r>
  <r>
    <d v="2025-01-08T00:00:00"/>
    <n v="4"/>
    <x v="3"/>
    <n v="9"/>
    <n v="3328"/>
    <n v="4"/>
    <s v="16hour15min"/>
    <n v="0.67708333333333337"/>
  </r>
  <r>
    <d v="2025-01-09T00:00:00"/>
    <n v="9"/>
    <x v="6"/>
    <n v="25"/>
    <n v="8763"/>
    <n v="9"/>
    <s v="28hour15min"/>
    <n v="0.17708333333333326"/>
  </r>
  <r>
    <d v="2025-01-10T00:00:00"/>
    <n v="2"/>
    <x v="1"/>
    <n v="7"/>
    <n v="2531"/>
    <n v="2"/>
    <s v="14hour38min"/>
    <n v="0.60972222222222228"/>
  </r>
  <r>
    <d v="2025-01-11T00:00:00"/>
    <n v="2"/>
    <x v="1"/>
    <n v="3"/>
    <n v="1034"/>
    <n v="2"/>
    <s v="6hour27min"/>
    <n v="0.26874999999999999"/>
  </r>
  <r>
    <d v="2025-01-12T00:00:00"/>
    <n v="4"/>
    <x v="2"/>
    <n v="9"/>
    <n v="3174"/>
    <n v="4"/>
    <s v="4hour45min"/>
    <n v="0.19791666666666666"/>
  </r>
  <r>
    <d v="2025-01-13T00:00:00"/>
    <n v="3"/>
    <x v="2"/>
    <n v="7"/>
    <n v="3045"/>
    <n v="3"/>
    <s v="7hour31min"/>
    <n v="0.31319444444444444"/>
  </r>
  <r>
    <d v="2025-01-14T00:00:00"/>
    <n v="4"/>
    <x v="3"/>
    <n v="9"/>
    <n v="4206"/>
    <n v="4"/>
    <s v="6hour53min"/>
    <n v="0.28680555555555554"/>
  </r>
  <r>
    <d v="2025-01-15T00:00:00"/>
    <n v="2"/>
    <x v="0"/>
    <n v="6"/>
    <n v="2488"/>
    <n v="2"/>
    <s v="4hour4min"/>
    <n v="0.16944444444444445"/>
  </r>
  <r>
    <d v="2025-01-16T00:00:00"/>
    <n v="2"/>
    <x v="0"/>
    <n v="8"/>
    <n v="2838"/>
    <n v="2"/>
    <s v="13hour28min"/>
    <n v="0.56111111111111112"/>
  </r>
  <r>
    <d v="2025-01-17T00:00:00"/>
    <n v="6"/>
    <x v="6"/>
    <n v="20"/>
    <n v="7984"/>
    <n v="6"/>
    <s v="8hour4min"/>
    <n v="0.33611111111111114"/>
  </r>
  <r>
    <d v="2025-01-18T00:00:00"/>
    <n v="8"/>
    <x v="6"/>
    <n v="13"/>
    <n v="4481"/>
    <n v="8"/>
    <s v="32hour36min"/>
    <n v="0.35833333333333339"/>
  </r>
  <r>
    <d v="2025-01-19T00:00:00"/>
    <n v="4"/>
    <x v="3"/>
    <n v="6"/>
    <n v="2168"/>
    <n v="4"/>
    <s v="5hour6min"/>
    <n v="0.21249999999999999"/>
  </r>
  <r>
    <d v="2025-01-20T00:00:00"/>
    <n v="5"/>
    <x v="3"/>
    <n v="11"/>
    <n v="5452"/>
    <n v="5"/>
    <s v="16hour2min"/>
    <n v="0.66805555555555551"/>
  </r>
  <r>
    <d v="2025-01-21T00:00:00"/>
    <n v="4"/>
    <x v="2"/>
    <n v="10"/>
    <n v="3125"/>
    <n v="4"/>
    <s v="10hour30min"/>
    <n v="0.4375"/>
  </r>
  <r>
    <d v="2025-01-22T00:00:00"/>
    <n v="1"/>
    <x v="0"/>
    <n v="2"/>
    <n v="824"/>
    <n v="1"/>
    <s v="3hour2min"/>
    <n v="0.12638888888888888"/>
  </r>
  <r>
    <d v="2025-01-23T00:00:00"/>
    <n v="1"/>
    <x v="0"/>
    <n v="2"/>
    <n v="1020"/>
    <n v="1"/>
    <s v="1hour0min"/>
    <n v="4.1666666666666664E-2"/>
  </r>
  <r>
    <d v="2025-01-24T00:00:00"/>
    <n v="4"/>
    <x v="3"/>
    <n v="11"/>
    <n v="4239"/>
    <n v="4"/>
    <s v="40hour12min"/>
    <n v="0.67500000000000004"/>
  </r>
  <r>
    <d v="2025-01-25T00:00:00"/>
    <n v="3"/>
    <x v="2"/>
    <n v="9"/>
    <n v="3173"/>
    <n v="3"/>
    <s v="6hour31min"/>
    <n v="0.27152777777777776"/>
  </r>
  <r>
    <d v="2025-01-26T00:00:00"/>
    <n v="8"/>
    <x v="4"/>
    <n v="16"/>
    <n v="5440"/>
    <n v="8"/>
    <s v="23hour38min"/>
    <n v="0.98472222222222228"/>
  </r>
  <r>
    <d v="2025-01-27T00:00:00"/>
    <n v="3"/>
    <x v="1"/>
    <n v="7"/>
    <n v="2606"/>
    <n v="3"/>
    <s v="6hour3min"/>
    <n v="0.25208333333333333"/>
  </r>
  <r>
    <d v="2025-01-28T00:00:00"/>
    <n v="4"/>
    <x v="2"/>
    <n v="8"/>
    <n v="3501"/>
    <n v="4"/>
    <s v="7hour20min"/>
    <n v="0.30555555555555558"/>
  </r>
  <r>
    <d v="2025-01-29T00:00:00"/>
    <n v="3"/>
    <x v="2"/>
    <n v="6"/>
    <n v="1783"/>
    <n v="3"/>
    <s v="3hour47min"/>
    <n v="0.15763888888888888"/>
  </r>
  <r>
    <d v="2025-01-30T00:00:00"/>
    <n v="6"/>
    <x v="3"/>
    <n v="14"/>
    <n v="4919"/>
    <n v="6"/>
    <s v="58hour40min"/>
    <n v="0.44444444444444464"/>
  </r>
  <r>
    <d v="2025-01-31T00:00:00"/>
    <n v="5"/>
    <x v="4"/>
    <n v="13"/>
    <n v="4866"/>
    <n v="5"/>
    <s v="14hour17min"/>
    <n v="0.59513888888888888"/>
  </r>
  <r>
    <d v="2025-02-01T00:00:00"/>
    <n v="6"/>
    <x v="6"/>
    <n v="14"/>
    <n v="5626"/>
    <n v="6"/>
    <s v="8hour34min"/>
    <n v="0.35694444444444445"/>
  </r>
  <r>
    <d v="2025-02-02T00:00:00"/>
    <n v="6"/>
    <x v="6"/>
    <n v="15"/>
    <n v="5868"/>
    <n v="6"/>
    <s v="10hour23min"/>
    <n v="0.43263888888888891"/>
  </r>
  <r>
    <d v="2025-02-03T00:00:00"/>
    <n v="6"/>
    <x v="3"/>
    <n v="13"/>
    <n v="3557"/>
    <n v="6"/>
    <s v="24hour14min"/>
    <n v="9.7222222222221877E-3"/>
  </r>
  <r>
    <d v="2025-02-04T00:00:00"/>
    <n v="7"/>
    <x v="4"/>
    <n v="14"/>
    <n v="5366"/>
    <n v="7"/>
    <s v="12hour53min"/>
    <n v="0.53680555555555554"/>
  </r>
  <r>
    <d v="2025-02-05T00:00:00"/>
    <n v="6"/>
    <x v="4"/>
    <n v="14"/>
    <n v="4982"/>
    <n v="6"/>
    <s v="3hour47min"/>
    <n v="0.15763888888888888"/>
  </r>
  <r>
    <d v="2025-02-06T00:00:00"/>
    <n v="4"/>
    <x v="2"/>
    <n v="7"/>
    <n v="1930"/>
    <n v="4"/>
    <s v="6hour15min"/>
    <n v="0.26041666666666669"/>
  </r>
  <r>
    <d v="2025-02-07T00:00:00"/>
    <n v="3"/>
    <x v="2"/>
    <n v="8"/>
    <n v="1541"/>
    <n v="3"/>
    <s v="6hour52min"/>
    <n v="0.28611111111111109"/>
  </r>
  <r>
    <d v="2025-02-08T00:00:00"/>
    <n v="4"/>
    <x v="2"/>
    <n v="12"/>
    <n v="4454"/>
    <n v="4"/>
    <s v="13hour39min"/>
    <n v="0.56874999999999998"/>
  </r>
  <r>
    <d v="2025-02-09T00:00:00"/>
    <n v="8"/>
    <x v="6"/>
    <n v="22"/>
    <n v="7998"/>
    <n v="8"/>
    <s v="29hour22min"/>
    <n v="0.2236111111111112"/>
  </r>
  <r>
    <d v="2025-02-10T00:00:00"/>
    <n v="6"/>
    <x v="3"/>
    <n v="11"/>
    <n v="4320"/>
    <n v="6"/>
    <s v="7hour29min"/>
    <n v="0.31180555555555556"/>
  </r>
  <r>
    <d v="2025-02-11T00:00:00"/>
    <n v="5"/>
    <x v="4"/>
    <n v="13"/>
    <n v="5052"/>
    <n v="5"/>
    <s v="18hour36min"/>
    <n v="0.77500000000000002"/>
  </r>
  <r>
    <d v="2025-02-12T00:00:00"/>
    <n v="5"/>
    <x v="3"/>
    <n v="10"/>
    <n v="3409"/>
    <n v="5"/>
    <s v="7hour1min"/>
    <n v="0.29236111111111113"/>
  </r>
  <r>
    <d v="2025-02-13T00:00:00"/>
    <n v="1"/>
    <x v="0"/>
    <n v="1"/>
    <n v="422"/>
    <n v="1"/>
    <s v="0hour43min"/>
    <n v="2.9861111111111113E-2"/>
  </r>
  <r>
    <d v="2025-02-14T00:00:00"/>
    <n v="7"/>
    <x v="4"/>
    <n v="13"/>
    <n v="6390"/>
    <n v="7"/>
    <s v="13hour58min"/>
    <n v="0.58194444444444449"/>
  </r>
  <r>
    <d v="2025-02-15T00:00:00"/>
    <n v="3"/>
    <x v="2"/>
    <n v="8"/>
    <n v="2144"/>
    <n v="3"/>
    <s v="6hour44min"/>
    <n v="0.28055555555555556"/>
  </r>
  <r>
    <d v="2025-02-16T00:00:00"/>
    <n v="4"/>
    <x v="3"/>
    <n v="11"/>
    <n v="3801"/>
    <n v="4"/>
    <s v="38hour42min"/>
    <n v="0.61250000000000004"/>
  </r>
  <r>
    <d v="2025-02-17T00:00:00"/>
    <n v="5"/>
    <x v="3"/>
    <n v="12"/>
    <n v="4641"/>
    <n v="5"/>
    <s v="9hour12min"/>
    <n v="0.38333333333333336"/>
  </r>
  <r>
    <d v="2025-02-18T00:00:00"/>
    <n v="4"/>
    <x v="3"/>
    <n v="9"/>
    <n v="4390"/>
    <n v="4"/>
    <s v="5hour20min"/>
    <n v="0.22222222222222221"/>
  </r>
  <r>
    <d v="2025-02-19T00:00:00"/>
    <n v="4"/>
    <x v="3"/>
    <n v="11"/>
    <n v="4217"/>
    <n v="4"/>
    <s v="13hour26min"/>
    <n v="0.55972222222222223"/>
  </r>
  <r>
    <d v="2025-02-20T00:00:00"/>
    <n v="5"/>
    <x v="2"/>
    <n v="10"/>
    <n v="3571"/>
    <n v="5"/>
    <s v="9hour4min"/>
    <n v="0.37777777777777777"/>
  </r>
  <r>
    <d v="2025-02-21T00:00:00"/>
    <n v="2"/>
    <x v="1"/>
    <n v="6"/>
    <n v="2472"/>
    <n v="2"/>
    <s v="25hour2min"/>
    <n v="4.3055555555555625E-2"/>
  </r>
  <r>
    <d v="2025-02-22T00:00:00"/>
    <n v="6"/>
    <x v="3"/>
    <n v="15"/>
    <n v="6554"/>
    <n v="6"/>
    <s v="41hour0min"/>
    <n v="0.70833333333333326"/>
  </r>
  <r>
    <d v="2025-02-23T00:00:00"/>
    <n v="7"/>
    <x v="4"/>
    <n v="16"/>
    <n v="6434"/>
    <n v="7"/>
    <s v="13hour16min"/>
    <n v="0.55277777777777781"/>
  </r>
  <r>
    <d v="2025-02-24T00:00:00"/>
    <n v="4"/>
    <x v="3"/>
    <n v="5"/>
    <n v="1605"/>
    <n v="4"/>
    <s v="5hour20min"/>
    <n v="0.22222222222222221"/>
  </r>
  <r>
    <d v="2025-02-25T00:00:00"/>
    <n v="4"/>
    <x v="2"/>
    <n v="8"/>
    <n v="2564"/>
    <n v="4"/>
    <s v="6hour47min"/>
    <n v="0.28263888888888888"/>
  </r>
  <r>
    <d v="2025-02-26T00:00:00"/>
    <n v="1"/>
    <x v="0"/>
    <n v="1"/>
    <n v="614"/>
    <n v="1"/>
    <s v="1hour39min"/>
    <n v="6.8750000000000006E-2"/>
  </r>
  <r>
    <d v="2025-02-27T00:00:00"/>
    <n v="6"/>
    <x v="2"/>
    <n v="13"/>
    <n v="5522"/>
    <n v="6"/>
    <s v="15hour22min"/>
    <n v="0.64027777777777772"/>
  </r>
  <r>
    <d v="2025-02-28T00:00:00"/>
    <n v="7"/>
    <x v="6"/>
    <n v="19"/>
    <n v="5718"/>
    <n v="7"/>
    <s v="25hour41min"/>
    <n v="7.0138888888888973E-2"/>
  </r>
  <r>
    <d v="2025-03-01T00:00:00"/>
    <n v="4"/>
    <x v="2"/>
    <n v="12"/>
    <n v="4377"/>
    <n v="4"/>
    <s v="19hour40min"/>
    <n v="0.81944444444444442"/>
  </r>
  <r>
    <d v="2025-03-02T00:00:00"/>
    <n v="2"/>
    <x v="1"/>
    <n v="7"/>
    <n v="3548"/>
    <n v="2"/>
    <s v="4hour43min"/>
    <n v="0.19652777777777777"/>
  </r>
  <r>
    <d v="2025-03-03T00:00:00"/>
    <n v="3"/>
    <x v="2"/>
    <n v="8"/>
    <n v="3348"/>
    <n v="3"/>
    <s v="22hour2min"/>
    <n v="0.91805555555555551"/>
  </r>
  <r>
    <d v="2025-03-04T00:00:00"/>
    <n v="4"/>
    <x v="2"/>
    <n v="11"/>
    <n v="3600"/>
    <n v="4"/>
    <s v="7hour16min"/>
    <n v="0.30277777777777776"/>
  </r>
  <r>
    <d v="2025-03-05T00:00:00"/>
    <n v="6"/>
    <x v="4"/>
    <n v="13"/>
    <n v="4749"/>
    <n v="6"/>
    <s v="31hour57min"/>
    <n v="0.33125000000000004"/>
  </r>
  <r>
    <d v="2025-03-06T00:00:00"/>
    <n v="2"/>
    <x v="1"/>
    <n v="5"/>
    <n v="2327"/>
    <n v="2"/>
    <s v="5hour25min"/>
    <n v="0.22569444444444445"/>
  </r>
  <r>
    <d v="2025-03-07T00:00:00"/>
    <n v="7"/>
    <x v="3"/>
    <n v="10"/>
    <n v="4018"/>
    <n v="7"/>
    <s v="11hour37min"/>
    <n v="0.48402777777777778"/>
  </r>
  <r>
    <d v="2025-03-08T00:00:00"/>
    <n v="5"/>
    <x v="3"/>
    <n v="13"/>
    <n v="4180"/>
    <n v="5"/>
    <s v="9hour35min"/>
    <n v="0.39930555555555558"/>
  </r>
  <r>
    <d v="2025-03-09T00:00:00"/>
    <n v="14"/>
    <x v="8"/>
    <n v="33"/>
    <n v="10692"/>
    <n v="14"/>
    <s v="64hour21min"/>
    <n v="0.68124999999999991"/>
  </r>
  <r>
    <d v="2025-03-10T00:00:00"/>
    <n v="3"/>
    <x v="2"/>
    <n v="8"/>
    <n v="2503"/>
    <n v="3"/>
    <s v="4hour44min"/>
    <n v="0.19722222222222222"/>
  </r>
  <r>
    <d v="2025-03-11T00:00:00"/>
    <n v="6"/>
    <x v="6"/>
    <n v="17"/>
    <n v="6729"/>
    <n v="6"/>
    <s v="26hour45min"/>
    <n v="0.11458333333333326"/>
  </r>
  <r>
    <d v="2025-03-12T00:00:00"/>
    <n v="5"/>
    <x v="4"/>
    <n v="9"/>
    <n v="3803"/>
    <n v="5"/>
    <s v="6hour8min"/>
    <n v="0.25555555555555554"/>
  </r>
  <r>
    <d v="2025-03-13T00:00:00"/>
    <n v="2"/>
    <x v="1"/>
    <n v="4"/>
    <n v="1431"/>
    <n v="2"/>
    <s v="5hour55min"/>
    <n v="0.24652777777777779"/>
  </r>
  <r>
    <d v="2025-03-14T00:00:00"/>
    <n v="6"/>
    <x v="3"/>
    <n v="16"/>
    <n v="5352"/>
    <n v="6"/>
    <s v="13hour27min"/>
    <n v="0.56041666666666667"/>
  </r>
  <r>
    <d v="2025-03-15T00:00:00"/>
    <n v="2"/>
    <x v="1"/>
    <n v="5"/>
    <n v="2188"/>
    <n v="2"/>
    <s v="8hour58min"/>
    <n v="0.37361111111111112"/>
  </r>
  <r>
    <d v="2025-03-16T00:00:00"/>
    <n v="5"/>
    <x v="3"/>
    <n v="9"/>
    <n v="2899"/>
    <n v="5"/>
    <s v="22hour24min"/>
    <n v="0.93333333333333335"/>
  </r>
  <r>
    <d v="2025-03-17T00:00:00"/>
    <n v="5"/>
    <x v="4"/>
    <n v="12"/>
    <n v="3898"/>
    <n v="5"/>
    <s v="50hour36min"/>
    <n v="0.10833333333333339"/>
  </r>
  <r>
    <d v="2025-03-18T00:00:00"/>
    <n v="7"/>
    <x v="6"/>
    <n v="10"/>
    <n v="3293"/>
    <n v="7"/>
    <s v="6hour52min"/>
    <n v="0.28611111111111109"/>
  </r>
  <r>
    <d v="2025-03-19T00:00:00"/>
    <n v="3"/>
    <x v="2"/>
    <n v="10"/>
    <n v="3116"/>
    <n v="3"/>
    <s v="11hour24min"/>
    <n v="0.47499999999999998"/>
  </r>
  <r>
    <d v="2025-03-20T00:00:00"/>
    <n v="6"/>
    <x v="2"/>
    <n v="12"/>
    <n v="4136"/>
    <n v="6"/>
    <s v="19hour13min"/>
    <n v="0.80069444444444449"/>
  </r>
  <r>
    <d v="2025-03-21T00:00:00"/>
    <n v="9"/>
    <x v="8"/>
    <n v="20"/>
    <n v="6763"/>
    <n v="9"/>
    <s v="21hour35min"/>
    <n v="0.89930555555555558"/>
  </r>
  <r>
    <d v="2025-03-22T00:00:00"/>
    <n v="5"/>
    <x v="4"/>
    <n v="13"/>
    <n v="4805"/>
    <n v="5"/>
    <s v="6hour32min"/>
    <n v="0.2722222222222222"/>
  </r>
  <r>
    <d v="2025-03-23T00:00:00"/>
    <n v="4"/>
    <x v="3"/>
    <n v="7"/>
    <n v="2405"/>
    <n v="4"/>
    <s v="3hour57min"/>
    <n v="0.16458333333333333"/>
  </r>
  <r>
    <d v="2025-03-24T00:00:00"/>
    <n v="5"/>
    <x v="4"/>
    <n v="14"/>
    <n v="4855"/>
    <n v="5"/>
    <s v="12hour2min"/>
    <n v="0.50138888888888888"/>
  </r>
  <r>
    <d v="2025-03-25T00:00:00"/>
    <n v="4"/>
    <x v="3"/>
    <n v="9"/>
    <n v="2947"/>
    <n v="4"/>
    <s v="7hour15min"/>
    <n v="0.30208333333333331"/>
  </r>
  <r>
    <d v="2025-03-26T00:00:00"/>
    <n v="4"/>
    <x v="2"/>
    <n v="11"/>
    <n v="4040"/>
    <n v="4"/>
    <s v="10hour34min"/>
    <n v="0.44027777777777777"/>
  </r>
  <r>
    <d v="2025-03-27T00:00:00"/>
    <n v="4"/>
    <x v="3"/>
    <n v="18"/>
    <n v="5898"/>
    <n v="5"/>
    <s v="10hour31min"/>
    <n v="0.43819444444444444"/>
  </r>
  <r>
    <d v="2025-03-28T00:00:00"/>
    <n v="2"/>
    <x v="1"/>
    <n v="7"/>
    <n v="2610"/>
    <n v="2"/>
    <s v="9hour25min"/>
    <n v="0.3923611111111111"/>
  </r>
  <r>
    <d v="2025-03-29T00:00:00"/>
    <n v="9"/>
    <x v="6"/>
    <n v="21"/>
    <n v="8112"/>
    <n v="9"/>
    <s v="46hour34min"/>
    <n v="0.94027777777777777"/>
  </r>
  <r>
    <d v="2025-03-30T00:00:00"/>
    <n v="4"/>
    <x v="2"/>
    <n v="7"/>
    <n v="2088"/>
    <n v="4"/>
    <s v="3hour42min"/>
    <n v="0.15416666666666667"/>
  </r>
  <r>
    <d v="2025-03-31T00:00:00"/>
    <n v="8"/>
    <x v="8"/>
    <n v="16"/>
    <n v="4991"/>
    <n v="8"/>
    <s v="14hour49min"/>
    <n v="0.61736111111111114"/>
  </r>
  <r>
    <d v="2025-04-01T00:00:00"/>
    <n v="10"/>
    <x v="8"/>
    <n v="30"/>
    <n v="11863"/>
    <n v="10"/>
    <s v="45hour54min"/>
    <n v="0.91250000000000009"/>
  </r>
  <r>
    <d v="2025-04-02T00:00:00"/>
    <n v="6"/>
    <x v="2"/>
    <n v="9"/>
    <n v="3037"/>
    <n v="6"/>
    <s v="17hour22min"/>
    <n v="0.72361111111111109"/>
  </r>
  <r>
    <d v="2025-04-03T00:00:00"/>
    <n v="2"/>
    <x v="1"/>
    <n v="6"/>
    <n v="2255"/>
    <n v="2"/>
    <s v="1hour22min"/>
    <n v="5.6944444444444443E-2"/>
  </r>
  <r>
    <d v="2025-04-04T00:00:00"/>
    <n v="4"/>
    <x v="2"/>
    <n v="10"/>
    <n v="5455"/>
    <n v="4"/>
    <s v="5hour15min"/>
    <n v="0.21875"/>
  </r>
  <r>
    <d v="2025-04-05T00:00:00"/>
    <n v="3"/>
    <x v="1"/>
    <n v="6"/>
    <n v="2307"/>
    <n v="3"/>
    <s v="4hour25min"/>
    <n v="0.18402777777777779"/>
  </r>
  <r>
    <d v="2025-04-06T00:00:00"/>
    <n v="3"/>
    <x v="2"/>
    <n v="7"/>
    <n v="2168"/>
    <n v="3"/>
    <s v="1hour53min"/>
    <n v="7.8472222222222221E-2"/>
  </r>
  <r>
    <d v="2025-04-07T00:00:00"/>
    <n v="4"/>
    <x v="2"/>
    <n v="8"/>
    <n v="1808"/>
    <n v="4"/>
    <s v="3hour54min"/>
    <n v="0.16250000000000001"/>
  </r>
  <r>
    <d v="2025-04-08T00:00:00"/>
    <n v="3"/>
    <x v="0"/>
    <n v="8"/>
    <n v="1890"/>
    <n v="3"/>
    <s v="7hour1min"/>
    <n v="0.29236111111111113"/>
  </r>
  <r>
    <d v="2025-04-09T00:00:00"/>
    <n v="4"/>
    <x v="2"/>
    <n v="10"/>
    <n v="3243"/>
    <n v="4"/>
    <s v="7hour31min"/>
    <n v="0.31319444444444444"/>
  </r>
  <r>
    <d v="2025-04-10T00:00:00"/>
    <n v="7"/>
    <x v="6"/>
    <n v="15"/>
    <n v="5306"/>
    <n v="7"/>
    <s v="30hour51min"/>
    <n v="0.28541666666666665"/>
  </r>
  <r>
    <d v="2025-04-11T00:00:00"/>
    <n v="5"/>
    <x v="4"/>
    <n v="12"/>
    <n v="4776"/>
    <n v="5"/>
    <s v="39hour4min"/>
    <n v="0.62777777777777777"/>
  </r>
  <r>
    <d v="2025-04-12T00:00:00"/>
    <n v="8"/>
    <x v="4"/>
    <n v="21"/>
    <n v="7221"/>
    <n v="8"/>
    <s v="83hour34min"/>
    <n v="0.48194444444444429"/>
  </r>
  <r>
    <d v="2025-04-13T00:00:00"/>
    <n v="10"/>
    <x v="8"/>
    <n v="22"/>
    <n v="7681"/>
    <n v="10"/>
    <s v="62hour51min"/>
    <n v="0.61874999999999991"/>
  </r>
  <r>
    <d v="2025-04-14T00:00:00"/>
    <n v="4"/>
    <x v="3"/>
    <n v="10"/>
    <n v="3310"/>
    <n v="4"/>
    <s v="14hour6min"/>
    <n v="0.58750000000000002"/>
  </r>
  <r>
    <d v="2025-04-15T00:00:00"/>
    <n v="3"/>
    <x v="2"/>
    <n v="4"/>
    <n v="1167"/>
    <n v="3"/>
    <s v="4hour42min"/>
    <n v="0.19583333333333333"/>
  </r>
  <r>
    <d v="2025-04-16T00:00:00"/>
    <n v="7"/>
    <x v="4"/>
    <n v="11"/>
    <n v="4575"/>
    <n v="7"/>
    <s v="28hour34min"/>
    <n v="0.19027777777777777"/>
  </r>
  <r>
    <d v="2025-04-17T00:00:00"/>
    <n v="9"/>
    <x v="8"/>
    <n v="25"/>
    <n v="7612"/>
    <n v="10"/>
    <s v="47hour3min"/>
    <n v="0.9604166666666667"/>
  </r>
  <r>
    <d v="2025-04-18T00:00:00"/>
    <n v="7"/>
    <x v="4"/>
    <n v="15"/>
    <n v="4375"/>
    <n v="7"/>
    <s v="26hour53min"/>
    <n v="0.1201388888888888"/>
  </r>
  <r>
    <d v="2025-04-19T00:00:00"/>
    <n v="3"/>
    <x v="1"/>
    <n v="8"/>
    <n v="3882"/>
    <n v="3"/>
    <s v="16hour5min"/>
    <n v="0.67013888888888884"/>
  </r>
  <r>
    <d v="2025-04-20T00:00:00"/>
    <n v="6"/>
    <x v="3"/>
    <n v="12"/>
    <n v="3226"/>
    <n v="6"/>
    <s v="13hour1min"/>
    <n v="0.54236111111111107"/>
  </r>
  <r>
    <d v="2025-04-21T00:00:00"/>
    <n v="4"/>
    <x v="1"/>
    <n v="7"/>
    <n v="2462"/>
    <n v="4"/>
    <s v="7hour21min"/>
    <n v="0.30625000000000002"/>
  </r>
  <r>
    <d v="2025-04-22T00:00:00"/>
    <n v="7"/>
    <x v="3"/>
    <n v="15"/>
    <n v="7183"/>
    <n v="7"/>
    <s v="28hour42min"/>
    <n v="0.1958333333333333"/>
  </r>
  <r>
    <d v="2025-04-23T00:00:00"/>
    <n v="5"/>
    <x v="4"/>
    <n v="17"/>
    <n v="5481"/>
    <n v="5"/>
    <s v="26hour10min"/>
    <n v="9.0277777777777679E-2"/>
  </r>
  <r>
    <d v="2025-04-24T00:00:00"/>
    <n v="4"/>
    <x v="2"/>
    <n v="13"/>
    <n v="4873"/>
    <n v="4"/>
    <s v="16hour15min"/>
    <n v="0.67708333333333337"/>
  </r>
  <r>
    <d v="2025-04-25T00:00:00"/>
    <n v="4"/>
    <x v="2"/>
    <n v="11"/>
    <n v="3321"/>
    <n v="4"/>
    <s v="52hour24min"/>
    <n v="0.18333333333333313"/>
  </r>
  <r>
    <d v="2025-04-26T00:00:00"/>
    <n v="2"/>
    <x v="0"/>
    <n v="8"/>
    <n v="3059"/>
    <n v="2"/>
    <s v="36hour24min"/>
    <n v="0.51666666666666661"/>
  </r>
  <r>
    <d v="2025-04-27T00:00:00"/>
    <n v="7"/>
    <x v="6"/>
    <n v="18"/>
    <n v="6262"/>
    <n v="7"/>
    <s v="13hour25min"/>
    <n v="0.55902777777777779"/>
  </r>
  <r>
    <d v="2025-04-28T00:00:00"/>
    <n v="10"/>
    <x v="6"/>
    <n v="24"/>
    <n v="8453"/>
    <n v="10"/>
    <s v="39hour25min"/>
    <n v="0.64236111111111116"/>
  </r>
  <r>
    <d v="2025-04-29T00:00:00"/>
    <n v="4"/>
    <x v="2"/>
    <n v="10"/>
    <n v="4069"/>
    <n v="4"/>
    <s v="9hour21min"/>
    <n v="0.38958333333333334"/>
  </r>
  <r>
    <d v="2025-04-30T00:00:00"/>
    <n v="3"/>
    <x v="2"/>
    <n v="9"/>
    <n v="3462"/>
    <n v="3"/>
    <s v="14hour19min"/>
    <n v="0.59652777777777777"/>
  </r>
  <r>
    <d v="2025-05-01T00:00:00"/>
    <n v="7"/>
    <x v="4"/>
    <n v="14"/>
    <n v="4649"/>
    <n v="7"/>
    <s v="6hour42min"/>
    <n v="0.27916666666666667"/>
  </r>
  <r>
    <d v="2025-05-02T00:00:00"/>
    <n v="2"/>
    <x v="1"/>
    <n v="3"/>
    <n v="1363"/>
    <n v="2"/>
    <s v="1hour10min"/>
    <n v="4.8611111111111112E-2"/>
  </r>
  <r>
    <d v="2025-05-03T00:00:00"/>
    <n v="5"/>
    <x v="2"/>
    <n v="19"/>
    <n v="7971"/>
    <n v="5"/>
    <s v="28hour38min"/>
    <n v="0.19305555555555554"/>
  </r>
  <r>
    <d v="2025-05-04T00:00:00"/>
    <n v="5"/>
    <x v="2"/>
    <n v="9"/>
    <n v="3579"/>
    <n v="5"/>
    <s v="19hour46min"/>
    <n v="0.82361111111111107"/>
  </r>
  <r>
    <d v="2025-05-05T00:00:00"/>
    <n v="9"/>
    <x v="4"/>
    <n v="25"/>
    <n v="10099"/>
    <n v="9"/>
    <s v="71hour41min"/>
    <n v="0.98680555555555571"/>
  </r>
  <r>
    <d v="2025-05-06T00:00:00"/>
    <n v="4"/>
    <x v="3"/>
    <n v="6"/>
    <n v="1147"/>
    <n v="4"/>
    <s v="5hour21min"/>
    <n v="0.22291666666666668"/>
  </r>
  <r>
    <d v="2025-05-07T00:00:00"/>
    <n v="5"/>
    <x v="3"/>
    <n v="13"/>
    <n v="6247"/>
    <n v="5"/>
    <s v="15hour35min"/>
    <n v="0.64930555555555558"/>
  </r>
  <r>
    <d v="2025-05-08T00:00:00"/>
    <n v="7"/>
    <x v="4"/>
    <n v="15"/>
    <n v="5662"/>
    <n v="7"/>
    <s v="18hour46min"/>
    <n v="0.78194444444444444"/>
  </r>
  <r>
    <d v="2025-05-09T00:00:00"/>
    <n v="7"/>
    <x v="3"/>
    <n v="19"/>
    <n v="7414"/>
    <n v="7"/>
    <s v="34hour50min"/>
    <n v="0.45138888888888884"/>
  </r>
  <r>
    <d v="2025-05-10T00:00:00"/>
    <n v="5"/>
    <x v="4"/>
    <n v="11"/>
    <n v="4124"/>
    <n v="5"/>
    <s v="37hour33min"/>
    <n v="0.56458333333333344"/>
  </r>
  <r>
    <d v="2025-05-11T00:00:00"/>
    <n v="10"/>
    <x v="6"/>
    <n v="16"/>
    <n v="4894"/>
    <n v="10"/>
    <s v="23hour11min"/>
    <n v="0.96597222222222223"/>
  </r>
  <r>
    <d v="2025-05-12T00:00:00"/>
    <n v="2"/>
    <x v="0"/>
    <n v="3"/>
    <n v="1385"/>
    <n v="2"/>
    <s v="2hour18min"/>
    <n v="9.583333333333334E-2"/>
  </r>
  <r>
    <d v="2025-05-13T00:00:00"/>
    <n v="3"/>
    <x v="2"/>
    <n v="7"/>
    <n v="3399"/>
    <n v="3"/>
    <s v="6hour46min"/>
    <n v="0.28194444444444444"/>
  </r>
  <r>
    <d v="2025-05-14T00:00:00"/>
    <n v="3"/>
    <x v="2"/>
    <n v="8"/>
    <n v="2527"/>
    <n v="3"/>
    <s v="8hour14min"/>
    <n v="0.34305555555555556"/>
  </r>
  <r>
    <d v="2025-05-15T00:00:00"/>
    <n v="6"/>
    <x v="3"/>
    <n v="9"/>
    <n v="3124"/>
    <n v="6"/>
    <s v="15hour50min"/>
    <n v="0.65972222222222221"/>
  </r>
  <r>
    <d v="2025-05-16T00:00:00"/>
    <n v="8"/>
    <x v="6"/>
    <n v="14"/>
    <n v="5775"/>
    <n v="8"/>
    <s v="24hour56min"/>
    <n v="3.8888888888888973E-2"/>
  </r>
  <r>
    <d v="2025-05-17T00:00:00"/>
    <n v="5"/>
    <x v="3"/>
    <n v="13"/>
    <n v="5352"/>
    <n v="5"/>
    <s v="5hour21min"/>
    <n v="0.22291666666666668"/>
  </r>
  <r>
    <d v="2025-05-18T00:00:00"/>
    <n v="5"/>
    <x v="2"/>
    <n v="10"/>
    <n v="3584"/>
    <n v="5"/>
    <s v="18hour30min"/>
    <n v="0.77083333333333337"/>
  </r>
  <r>
    <d v="2025-05-19T00:00:00"/>
    <n v="5"/>
    <x v="3"/>
    <n v="8"/>
    <n v="3150"/>
    <n v="5"/>
    <s v="1hour36min"/>
    <n v="6.6666666666666666E-2"/>
  </r>
  <r>
    <d v="2025-05-20T00:00:00"/>
    <n v="4"/>
    <x v="3"/>
    <n v="8"/>
    <n v="2999"/>
    <n v="4"/>
    <s v="3hour53min"/>
    <n v="0.16180555555555556"/>
  </r>
  <r>
    <d v="2025-05-21T00:00:00"/>
    <n v="4"/>
    <x v="3"/>
    <n v="7"/>
    <n v="1630"/>
    <n v="4"/>
    <s v="5hour40min"/>
    <n v="0.2361111111111111"/>
  </r>
  <r>
    <d v="2025-05-22T00:00:00"/>
    <n v="3"/>
    <x v="2"/>
    <n v="7"/>
    <n v="2631"/>
    <n v="3"/>
    <s v="5hour37min"/>
    <n v="0.23402777777777778"/>
  </r>
  <r>
    <d v="2025-05-23T00:00:00"/>
    <n v="4"/>
    <x v="1"/>
    <n v="5"/>
    <n v="1795"/>
    <n v="4"/>
    <s v="5hour14min"/>
    <n v="0.21805555555555556"/>
  </r>
  <r>
    <d v="2025-05-24T00:00:00"/>
    <n v="9"/>
    <x v="4"/>
    <n v="28"/>
    <n v="11289"/>
    <n v="9"/>
    <s v="65hour24min"/>
    <n v="0.72500000000000009"/>
  </r>
  <r>
    <d v="2025-05-25T00:00:00"/>
    <n v="3"/>
    <x v="1"/>
    <n v="8"/>
    <n v="3189"/>
    <n v="3"/>
    <s v="14hour29min"/>
    <n v="0.60347222222222219"/>
  </r>
  <r>
    <d v="2025-05-26T00:00:00"/>
    <n v="5"/>
    <x v="4"/>
    <n v="7"/>
    <n v="2363"/>
    <n v="5"/>
    <s v="13hour8min"/>
    <n v="0.54722222222222228"/>
  </r>
  <r>
    <d v="2025-05-27T00:00:00"/>
    <n v="5"/>
    <x v="3"/>
    <n v="12"/>
    <n v="4521"/>
    <n v="5"/>
    <s v="12hour53min"/>
    <n v="0.53680555555555554"/>
  </r>
  <r>
    <d v="2025-05-28T00:00:00"/>
    <n v="5"/>
    <x v="3"/>
    <n v="10"/>
    <n v="3863"/>
    <n v="5"/>
    <s v="12hour41min"/>
    <n v="0.52847222222222223"/>
  </r>
  <r>
    <d v="2025-05-29T00:00:00"/>
    <n v="2"/>
    <x v="1"/>
    <n v="4"/>
    <n v="1319"/>
    <n v="2"/>
    <s v="4hour58min"/>
    <n v="0.20694444444444443"/>
  </r>
  <r>
    <d v="2025-05-30T00:00:00"/>
    <n v="5"/>
    <x v="3"/>
    <n v="9"/>
    <n v="3695"/>
    <n v="5"/>
    <s v="11hour1min"/>
    <n v="0.45902777777777776"/>
  </r>
  <r>
    <d v="2025-05-31T00:00:00"/>
    <n v="3"/>
    <x v="2"/>
    <n v="8"/>
    <n v="2967"/>
    <n v="3"/>
    <s v="5hour9min"/>
    <n v="0.21458333333333332"/>
  </r>
  <r>
    <d v="2025-06-01T00:00:00"/>
    <n v="7"/>
    <x v="4"/>
    <n v="16"/>
    <n v="4944"/>
    <n v="7"/>
    <s v="15hour9min"/>
    <n v="0.63124999999999998"/>
  </r>
  <r>
    <d v="2025-06-02T00:00:00"/>
    <n v="4"/>
    <x v="3"/>
    <n v="14"/>
    <n v="4642"/>
    <n v="4"/>
    <s v="8hour42min"/>
    <n v="0.36249999999999999"/>
  </r>
  <r>
    <d v="2025-06-03T00:00:00"/>
    <n v="8"/>
    <x v="6"/>
    <n v="17"/>
    <n v="7433"/>
    <n v="8"/>
    <s v="16hour10min"/>
    <n v="0.67361111111111116"/>
  </r>
  <r>
    <d v="2025-06-04T00:00:00"/>
    <n v="12"/>
    <x v="7"/>
    <n v="25"/>
    <n v="8612"/>
    <n v="12"/>
    <s v="42hour52min"/>
    <n v="0.7861111111111112"/>
  </r>
  <r>
    <d v="2025-06-05T00:00:00"/>
    <n v="4"/>
    <x v="2"/>
    <n v="8"/>
    <n v="3538"/>
    <n v="4"/>
    <s v="26hour50min"/>
    <n v="0.11805555555555558"/>
  </r>
  <r>
    <d v="2025-06-06T00:00:00"/>
    <n v="9"/>
    <x v="6"/>
    <n v="21"/>
    <n v="7445"/>
    <n v="9"/>
    <s v="71hour8min"/>
    <n v="0.96388888888888902"/>
  </r>
  <r>
    <d v="2025-06-07T00:00:00"/>
    <n v="7"/>
    <x v="4"/>
    <n v="19"/>
    <n v="7089"/>
    <n v="7"/>
    <s v="24hour18min"/>
    <n v="1.2499999999999956E-2"/>
  </r>
  <r>
    <d v="2025-06-08T00:00:00"/>
    <n v="5"/>
    <x v="4"/>
    <n v="9"/>
    <n v="3467"/>
    <n v="5"/>
    <s v="6hour15min"/>
    <n v="0.26041666666666669"/>
  </r>
  <r>
    <d v="2025-06-09T00:00:00"/>
    <n v="2"/>
    <x v="1"/>
    <n v="6"/>
    <n v="2374"/>
    <n v="2"/>
    <s v="3hour44min"/>
    <n v="0.15555555555555556"/>
  </r>
  <r>
    <d v="2025-06-10T00:00:00"/>
    <n v="4"/>
    <x v="2"/>
    <n v="6"/>
    <n v="1710"/>
    <n v="4"/>
    <s v="5hour25min"/>
    <n v="0.22569444444444445"/>
  </r>
  <r>
    <d v="2025-06-11T00:00:00"/>
    <n v="8"/>
    <x v="6"/>
    <n v="21"/>
    <n v="6626"/>
    <n v="8"/>
    <s v="53hour50min"/>
    <n v="0.24305555555555536"/>
  </r>
  <r>
    <d v="2025-06-12T00:00:00"/>
    <n v="10"/>
    <x v="6"/>
    <n v="15"/>
    <n v="4775"/>
    <n v="10"/>
    <s v="29hour29min"/>
    <n v="0.22847222222222219"/>
  </r>
  <r>
    <d v="2025-06-13T00:00:00"/>
    <n v="6"/>
    <x v="6"/>
    <n v="11"/>
    <n v="4006"/>
    <n v="6"/>
    <s v="8hour4min"/>
    <n v="0.33611111111111114"/>
  </r>
  <r>
    <d v="2025-06-14T00:00:00"/>
    <n v="9"/>
    <x v="6"/>
    <n v="27"/>
    <n v="8366"/>
    <n v="9"/>
    <s v="56hour41min"/>
    <n v="0.36180555555555571"/>
  </r>
  <r>
    <d v="2025-06-15T00:00:00"/>
    <n v="4"/>
    <x v="2"/>
    <n v="9"/>
    <n v="3244"/>
    <n v="4"/>
    <s v="9hour7min"/>
    <n v="0.37986111111111109"/>
  </r>
  <r>
    <d v="2025-06-16T00:00:00"/>
    <n v="5"/>
    <x v="4"/>
    <n v="10"/>
    <n v="3591"/>
    <n v="5"/>
    <s v="12hour37min"/>
    <n v="0.52569444444444446"/>
  </r>
  <r>
    <d v="2025-06-17T00:00:00"/>
    <n v="9"/>
    <x v="6"/>
    <n v="25"/>
    <n v="8529"/>
    <n v="9"/>
    <s v="20hour2min"/>
    <n v="0.83472222222222225"/>
  </r>
  <r>
    <d v="2025-06-18T00:00:00"/>
    <n v="7"/>
    <x v="8"/>
    <n v="19"/>
    <n v="5337"/>
    <n v="7"/>
    <s v="31hour33min"/>
    <n v="0.31458333333333344"/>
  </r>
  <r>
    <d v="2025-06-19T00:00:00"/>
    <n v="6"/>
    <x v="3"/>
    <n v="12"/>
    <n v="4016"/>
    <n v="6"/>
    <s v="16hour38min"/>
    <n v="0.69305555555555554"/>
  </r>
  <r>
    <d v="2025-06-20T00:00:00"/>
    <n v="5"/>
    <x v="3"/>
    <n v="13"/>
    <n v="4457"/>
    <n v="5"/>
    <s v="16hour5min"/>
    <n v="0.67013888888888884"/>
  </r>
  <r>
    <d v="2025-06-21T00:00:00"/>
    <n v="8"/>
    <x v="4"/>
    <n v="19"/>
    <n v="6449"/>
    <n v="8"/>
    <s v="12hour17min"/>
    <n v="0.51180555555555551"/>
  </r>
  <r>
    <d v="2025-06-22T00:00:00"/>
    <n v="9"/>
    <x v="8"/>
    <n v="20"/>
    <n v="7773"/>
    <n v="9"/>
    <s v="23hour31min"/>
    <n v="0.97986111111111107"/>
  </r>
  <r>
    <d v="2025-06-23T00:00:00"/>
    <n v="6"/>
    <x v="4"/>
    <n v="16"/>
    <n v="6797"/>
    <n v="6"/>
    <s v="16hour57min"/>
    <n v="0.70625000000000004"/>
  </r>
  <r>
    <d v="2025-06-24T00:00:00"/>
    <n v="11"/>
    <x v="4"/>
    <n v="29"/>
    <n v="9808"/>
    <n v="11"/>
    <s v="53hour28min"/>
    <n v="0.22777777777777786"/>
  </r>
  <r>
    <d v="2025-06-25T00:00:00"/>
    <n v="6"/>
    <x v="3"/>
    <n v="21"/>
    <n v="6599"/>
    <n v="6"/>
    <s v="34hour15min"/>
    <n v="0.42708333333333326"/>
  </r>
  <r>
    <d v="2025-06-26T00:00:00"/>
    <n v="2"/>
    <x v="1"/>
    <n v="3"/>
    <n v="991"/>
    <n v="2"/>
    <s v="18hour0min"/>
    <n v="0.75"/>
  </r>
  <r>
    <d v="2025-06-27T00:00:00"/>
    <n v="3"/>
    <x v="2"/>
    <n v="3"/>
    <n v="1161"/>
    <n v="3"/>
    <s v="0hour48min"/>
    <n v="3.3333333333333333E-2"/>
  </r>
  <r>
    <d v="2025-06-28T00:00:00"/>
    <n v="5"/>
    <x v="3"/>
    <n v="17"/>
    <n v="6021"/>
    <n v="5"/>
    <s v="13hour0min"/>
    <n v="0.54166666666666663"/>
  </r>
  <r>
    <d v="2025-06-29T00:00:00"/>
    <n v="4"/>
    <x v="3"/>
    <n v="9"/>
    <n v="3389"/>
    <n v="4"/>
    <s v="8hour37min"/>
    <n v="0.35902777777777778"/>
  </r>
  <r>
    <d v="2025-06-30T00:00:00"/>
    <n v="4"/>
    <x v="2"/>
    <n v="8"/>
    <n v="2234"/>
    <n v="4"/>
    <s v="5hour58min"/>
    <n v="0.24861111111111112"/>
  </r>
  <r>
    <d v="2025-07-01T00:00:00"/>
    <n v="4"/>
    <x v="2"/>
    <n v="10"/>
    <n v="4144"/>
    <n v="4"/>
    <s v="13hour55min"/>
    <n v="0.57986111111111116"/>
  </r>
  <r>
    <d v="2025-07-02T00:00:00"/>
    <n v="6"/>
    <x v="3"/>
    <n v="12"/>
    <n v="3957"/>
    <n v="6"/>
    <s v="32hour16min"/>
    <n v="0.34444444444444455"/>
  </r>
  <r>
    <d v="2025-07-03T00:00:00"/>
    <n v="10"/>
    <x v="6"/>
    <n v="26"/>
    <n v="11124"/>
    <n v="10"/>
    <s v="40hour5min"/>
    <n v="0.67013888888888884"/>
  </r>
  <r>
    <d v="2025-07-04T00:00:00"/>
    <n v="6"/>
    <x v="6"/>
    <n v="18"/>
    <n v="6307"/>
    <n v="6"/>
    <s v="19hour42min"/>
    <n v="0.8208333333333333"/>
  </r>
  <r>
    <d v="2025-07-05T00:00:00"/>
    <n v="11"/>
    <x v="8"/>
    <n v="27"/>
    <n v="8553"/>
    <n v="11"/>
    <s v="41hour25min"/>
    <n v="0.72569444444444442"/>
  </r>
  <r>
    <d v="2025-07-06T00:00:00"/>
    <n v="7"/>
    <x v="6"/>
    <n v="17"/>
    <n v="5129"/>
    <n v="7"/>
    <s v="8hour36min"/>
    <n v="0.35833333333333334"/>
  </r>
  <r>
    <d v="2025-07-07T00:00:00"/>
    <n v="4"/>
    <x v="2"/>
    <n v="7"/>
    <n v="2665"/>
    <n v="4"/>
    <s v="4hour47min"/>
    <n v="0.19930555555555557"/>
  </r>
  <r>
    <d v="2025-07-08T00:00:00"/>
    <n v="5"/>
    <x v="3"/>
    <n v="13"/>
    <n v="4886"/>
    <n v="5"/>
    <s v="22hour10min"/>
    <n v="0.92361111111111116"/>
  </r>
  <r>
    <d v="2025-07-09T00:00:00"/>
    <n v="9"/>
    <x v="6"/>
    <n v="23"/>
    <n v="8645"/>
    <n v="9"/>
    <s v="21hour41min"/>
    <n v="0.90347222222222223"/>
  </r>
  <r>
    <d v="2025-07-10T00:00:00"/>
    <n v="3"/>
    <x v="1"/>
    <n v="6"/>
    <n v="2007"/>
    <n v="3"/>
    <s v="2hour38min"/>
    <n v="0.10972222222222222"/>
  </r>
  <r>
    <d v="2025-07-11T00:00:00"/>
    <n v="3"/>
    <x v="2"/>
    <n v="5"/>
    <n v="1203"/>
    <n v="3"/>
    <s v="3hour51min"/>
    <n v="0.16041666666666668"/>
  </r>
  <r>
    <d v="2025-07-12T00:00:00"/>
    <n v="5"/>
    <x v="2"/>
    <n v="8"/>
    <n v="3018"/>
    <n v="5"/>
    <s v="7hour57min"/>
    <n v="0.33124999999999999"/>
  </r>
  <r>
    <d v="2025-07-13T00:00:00"/>
    <n v="12"/>
    <x v="6"/>
    <n v="31"/>
    <n v="12550"/>
    <n v="12"/>
    <s v="22hour8min"/>
    <n v="0.92222222222222228"/>
  </r>
  <r>
    <d v="2025-07-14T00:00:00"/>
    <n v="4"/>
    <x v="3"/>
    <n v="6"/>
    <n v="2383"/>
    <n v="4"/>
    <s v="5hour54min"/>
    <n v="0.24583333333333332"/>
  </r>
  <r>
    <d v="2025-07-15T00:00:00"/>
    <n v="8"/>
    <x v="6"/>
    <n v="21"/>
    <n v="9406"/>
    <n v="8"/>
    <s v="16hour20min"/>
    <n v="0.68055555555555558"/>
  </r>
  <r>
    <d v="2025-07-16T00:00:00"/>
    <n v="6"/>
    <x v="4"/>
    <n v="12"/>
    <n v="4236"/>
    <n v="6"/>
    <s v="23hour12min"/>
    <n v="0.96666666666666667"/>
  </r>
  <r>
    <d v="2025-07-17T00:00:00"/>
    <n v="11"/>
    <x v="4"/>
    <n v="24"/>
    <n v="7905"/>
    <n v="11"/>
    <s v="29hour2min"/>
    <n v="0.20972222222222214"/>
  </r>
  <r>
    <d v="2025-07-18T00:00:00"/>
    <n v="5"/>
    <x v="3"/>
    <n v="9"/>
    <n v="2965"/>
    <n v="5"/>
    <s v="5hour40min"/>
    <n v="0.2361111111111111"/>
  </r>
  <r>
    <d v="2025-07-19T00:00:00"/>
    <n v="7"/>
    <x v="8"/>
    <n v="16"/>
    <n v="6619"/>
    <n v="7"/>
    <s v="20hour7min"/>
    <n v="0.83819444444444446"/>
  </r>
  <r>
    <d v="2025-07-20T00:00:00"/>
    <n v="5"/>
    <x v="2"/>
    <n v="7"/>
    <n v="2054"/>
    <n v="5"/>
    <s v="9hour6min"/>
    <n v="0.37916666666666665"/>
  </r>
  <r>
    <d v="2025-07-21T00:00:00"/>
    <n v="3"/>
    <x v="0"/>
    <n v="6"/>
    <n v="1790"/>
    <n v="3"/>
    <s v="2hour26min"/>
    <n v="0.10138888888888889"/>
  </r>
  <r>
    <d v="2025-07-22T00:00:00"/>
    <n v="8"/>
    <x v="6"/>
    <n v="21"/>
    <n v="7965"/>
    <n v="8"/>
    <s v="14hour52min"/>
    <n v="0.61944444444444446"/>
  </r>
  <r>
    <d v="2025-07-23T00:00:00"/>
    <n v="8"/>
    <x v="6"/>
    <n v="16"/>
    <n v="6042"/>
    <n v="8"/>
    <s v="16hour55min"/>
    <n v="0.70486111111111116"/>
  </r>
  <r>
    <d v="2025-07-24T00:00:00"/>
    <n v="6"/>
    <x v="4"/>
    <n v="12"/>
    <n v="3286"/>
    <n v="6"/>
    <s v="8hour9min"/>
    <n v="0.33958333333333335"/>
  </r>
  <r>
    <d v="2025-07-25T00:00:00"/>
    <n v="7"/>
    <x v="6"/>
    <n v="14"/>
    <n v="5045"/>
    <n v="7"/>
    <s v="20hour54min"/>
    <n v="0.87083333333333335"/>
  </r>
  <r>
    <d v="2025-07-26T00:00:00"/>
    <n v="6"/>
    <x v="3"/>
    <n v="15"/>
    <n v="6354"/>
    <n v="6"/>
    <s v="14hour49min"/>
    <n v="0.61736111111111114"/>
  </r>
  <r>
    <d v="2025-07-27T00:00:00"/>
    <n v="10"/>
    <x v="6"/>
    <n v="19"/>
    <n v="6366"/>
    <n v="10"/>
    <s v="27hour36min"/>
    <n v="0.14999999999999991"/>
  </r>
  <r>
    <d v="2025-07-28T00:00:00"/>
    <n v="4"/>
    <x v="2"/>
    <n v="10"/>
    <n v="4337"/>
    <n v="4"/>
    <s v="12hour14min"/>
    <n v="0.50972222222222219"/>
  </r>
  <r>
    <d v="2025-07-29T00:00:00"/>
    <n v="3"/>
    <x v="2"/>
    <n v="6"/>
    <n v="1442"/>
    <n v="3"/>
    <s v="4hour52min"/>
    <n v="0.20277777777777778"/>
  </r>
  <r>
    <d v="2025-07-30T00:00:00"/>
    <n v="5"/>
    <x v="2"/>
    <n v="7"/>
    <n v="2152"/>
    <n v="5"/>
    <s v="10hour56min"/>
    <n v="0.45555555555555555"/>
  </r>
  <r>
    <d v="2025-07-31T00:00:00"/>
    <n v="5"/>
    <x v="3"/>
    <n v="12"/>
    <n v="3206"/>
    <n v="5"/>
    <s v="19hour23min"/>
    <n v="0.80763888888888891"/>
  </r>
  <r>
    <d v="2025-08-01T00:00:00"/>
    <n v="3"/>
    <x v="2"/>
    <n v="4"/>
    <n v="1637"/>
    <n v="3"/>
    <s v="12hour8min"/>
    <n v="0.50555555555555554"/>
  </r>
  <r>
    <d v="2025-08-02T00:00:00"/>
    <n v="11"/>
    <x v="5"/>
    <n v="24"/>
    <n v="8330"/>
    <n v="11"/>
    <s v="49hour36min"/>
    <n v="6.6666666666666874E-2"/>
  </r>
  <r>
    <d v="2025-08-03T00:00:00"/>
    <n v="6"/>
    <x v="3"/>
    <n v="15"/>
    <n v="4783"/>
    <n v="6"/>
    <s v="11hour25min"/>
    <n v="0.47569444444444442"/>
  </r>
  <r>
    <d v="2025-08-04T00:00:00"/>
    <n v="12"/>
    <x v="5"/>
    <n v="26"/>
    <n v="9454"/>
    <n v="12"/>
    <s v="38hour46min"/>
    <n v="0.61527777777777781"/>
  </r>
  <r>
    <d v="2025-08-05T00:00:00"/>
    <n v="5"/>
    <x v="4"/>
    <n v="8"/>
    <n v="3196"/>
    <n v="5"/>
    <s v="33hour29min"/>
    <n v="0.39513888888888893"/>
  </r>
  <r>
    <d v="2025-08-06T00:00:00"/>
    <n v="3"/>
    <x v="2"/>
    <n v="7"/>
    <n v="2648"/>
    <n v="3"/>
    <s v="12hour0min"/>
    <n v="0.5"/>
  </r>
  <r>
    <d v="2025-08-07T00:00:00"/>
    <n v="6"/>
    <x v="3"/>
    <n v="15"/>
    <n v="3738"/>
    <n v="6"/>
    <s v="8hour30min"/>
    <n v="0.35416666666666669"/>
  </r>
  <r>
    <d v="2025-08-08T00:00:00"/>
    <n v="1"/>
    <x v="0"/>
    <n v="4"/>
    <n v="814"/>
    <n v="1"/>
    <s v="14hour24min"/>
    <n v="0.6"/>
  </r>
  <r>
    <d v="2025-08-09T00:00:00"/>
    <n v="10"/>
    <x v="5"/>
    <n v="23"/>
    <n v="7331"/>
    <n v="10"/>
    <s v="30hour25min"/>
    <n v="0.26736111111111116"/>
  </r>
  <r>
    <d v="2025-08-10T00:00:00"/>
    <n v="7"/>
    <x v="8"/>
    <n v="20"/>
    <n v="7513"/>
    <n v="7"/>
    <s v="28hour28min"/>
    <n v="0.18611111111111112"/>
  </r>
  <r>
    <d v="2025-08-11T00:00:00"/>
    <n v="5"/>
    <x v="3"/>
    <n v="13"/>
    <n v="3346"/>
    <n v="5"/>
    <s v="11hour11min"/>
    <n v="0.46597222222222223"/>
  </r>
  <r>
    <d v="2025-08-12T00:00:00"/>
    <n v="6"/>
    <x v="4"/>
    <n v="14"/>
    <n v="5437"/>
    <n v="6"/>
    <s v="25hour1min"/>
    <n v="4.2361111111111072E-2"/>
  </r>
  <r>
    <d v="2025-08-13T00:00:00"/>
    <n v="4"/>
    <x v="2"/>
    <n v="11"/>
    <n v="3983"/>
    <n v="4"/>
    <s v="13hour19min"/>
    <n v="0.55486111111111114"/>
  </r>
  <r>
    <d v="2025-08-14T00:00:00"/>
    <n v="7"/>
    <x v="6"/>
    <n v="14"/>
    <n v="5213"/>
    <n v="7"/>
    <s v="18hour9min"/>
    <n v="0.75624999999999998"/>
  </r>
  <r>
    <d v="2025-08-15T00:00:00"/>
    <n v="8"/>
    <x v="4"/>
    <n v="11"/>
    <n v="3685"/>
    <n v="8"/>
    <s v="8hour10min"/>
    <n v="0.34027777777777779"/>
  </r>
  <r>
    <d v="2025-08-16T00:00:00"/>
    <n v="9"/>
    <x v="4"/>
    <n v="19"/>
    <n v="8255"/>
    <n v="9"/>
    <s v="27hour28min"/>
    <n v="0.14444444444444438"/>
  </r>
  <r>
    <d v="2025-08-17T00:00:00"/>
    <n v="7"/>
    <x v="3"/>
    <n v="13"/>
    <n v="4387"/>
    <n v="7"/>
    <s v="17hour40min"/>
    <n v="0.73611111111111116"/>
  </r>
  <r>
    <d v="2025-08-18T00:00:00"/>
    <n v="10"/>
    <x v="8"/>
    <n v="18"/>
    <n v="7270"/>
    <n v="10"/>
    <s v="14hour6min"/>
    <n v="0.58750000000000002"/>
  </r>
  <r>
    <d v="2025-08-19T00:00:00"/>
    <n v="4"/>
    <x v="2"/>
    <n v="5"/>
    <n v="1537"/>
    <n v="4"/>
    <s v="3hour24min"/>
    <n v="0.14166666666666666"/>
  </r>
  <r>
    <d v="2025-08-20T00:00:00"/>
    <n v="4"/>
    <x v="3"/>
    <n v="7"/>
    <n v="2564"/>
    <n v="4"/>
    <s v="15hour48min"/>
    <n v="0.65833333333333333"/>
  </r>
  <r>
    <d v="2025-08-21T00:00:00"/>
    <n v="8"/>
    <x v="8"/>
    <n v="18"/>
    <n v="7564"/>
    <n v="8"/>
    <s v="16hour58min"/>
    <n v="0.70694444444444449"/>
  </r>
  <r>
    <d v="2025-08-22T00:00:00"/>
    <n v="8"/>
    <x v="6"/>
    <n v="15"/>
    <n v="5015"/>
    <n v="8"/>
    <s v="12hour2min"/>
    <n v="0.50138888888888888"/>
  </r>
  <r>
    <d v="2025-08-23T00:00:00"/>
    <n v="6"/>
    <x v="6"/>
    <n v="17"/>
    <n v="6505"/>
    <n v="6"/>
    <s v="14hour16min"/>
    <n v="0.59444444444444444"/>
  </r>
  <r>
    <d v="2025-08-24T00:00:00"/>
    <n v="8"/>
    <x v="4"/>
    <n v="23"/>
    <n v="7842"/>
    <n v="8"/>
    <s v="51hour36min"/>
    <n v="0.14999999999999991"/>
  </r>
  <r>
    <d v="2025-08-25T00:00:00"/>
    <n v="14"/>
    <x v="5"/>
    <n v="33"/>
    <n v="10562"/>
    <n v="14"/>
    <s v="48hour29min"/>
    <n v="2.0138888888888928E-2"/>
  </r>
  <r>
    <d v="2025-08-26T00:00:00"/>
    <n v="11"/>
    <x v="8"/>
    <n v="19"/>
    <n v="5948"/>
    <n v="11"/>
    <s v="47hour38min"/>
    <n v="0.98472222222222228"/>
  </r>
  <r>
    <d v="2025-08-27T00:00:00"/>
    <n v="8"/>
    <x v="6"/>
    <n v="26"/>
    <n v="10294"/>
    <n v="8"/>
    <s v="33hour12min"/>
    <n v="0.3833333333333333"/>
  </r>
  <r>
    <d v="2025-08-28T00:00:00"/>
    <n v="3"/>
    <x v="3"/>
    <n v="9"/>
    <n v="2906"/>
    <n v="4"/>
    <s v="8hour33min"/>
    <n v="0.35625000000000001"/>
  </r>
  <r>
    <d v="2025-08-29T00:00:00"/>
    <n v="7"/>
    <x v="3"/>
    <n v="12"/>
    <n v="4608"/>
    <n v="7"/>
    <s v="10hour37min"/>
    <n v="0.44236111111111109"/>
  </r>
  <r>
    <d v="2025-08-30T00:00:00"/>
    <n v="4"/>
    <x v="3"/>
    <n v="8"/>
    <n v="4046"/>
    <n v="4"/>
    <s v="34hour27min"/>
    <n v="0.43541666666666656"/>
  </r>
  <r>
    <d v="2025-08-31T00:00:00"/>
    <n v="4"/>
    <x v="2"/>
    <n v="6"/>
    <n v="2296"/>
    <n v="4"/>
    <s v="6hour36min"/>
    <n v="0.27500000000000002"/>
  </r>
  <r>
    <d v="2025-09-01T00:00:00"/>
    <n v="11"/>
    <x v="6"/>
    <n v="26"/>
    <n v="9523"/>
    <n v="11"/>
    <s v="31hour49min"/>
    <n v="0.32569444444444451"/>
  </r>
  <r>
    <d v="2025-09-02T00:00:00"/>
    <n v="11"/>
    <x v="8"/>
    <n v="27"/>
    <n v="9356"/>
    <n v="11"/>
    <s v="37hour35min"/>
    <n v="0.56597222222222232"/>
  </r>
  <r>
    <d v="2025-09-03T00:00:00"/>
    <n v="7"/>
    <x v="6"/>
    <n v="19"/>
    <n v="7935"/>
    <n v="7"/>
    <s v="18hour53min"/>
    <n v="0.78680555555555554"/>
  </r>
  <r>
    <d v="2025-09-04T00:00:00"/>
    <n v="6"/>
    <x v="3"/>
    <n v="10"/>
    <n v="3673"/>
    <n v="6"/>
    <s v="6hour29min"/>
    <n v="0.27013888888888887"/>
  </r>
  <r>
    <d v="2025-09-05T00:00:00"/>
    <n v="9"/>
    <x v="4"/>
    <n v="20"/>
    <n v="7442"/>
    <n v="9"/>
    <s v="34hour47min"/>
    <n v="0.44930555555555562"/>
  </r>
  <r>
    <d v="2025-09-06T00:00:00"/>
    <n v="8"/>
    <x v="6"/>
    <n v="22"/>
    <n v="9442"/>
    <n v="8"/>
    <s v="59hour12min"/>
    <n v="0.46666666666666679"/>
  </r>
  <r>
    <d v="2025-09-07T00:00:00"/>
    <n v="11"/>
    <x v="7"/>
    <n v="28"/>
    <n v="10608"/>
    <n v="11"/>
    <s v="31hour37min"/>
    <n v="0.3173611111111112"/>
  </r>
  <r>
    <d v="2025-09-08T00:00:00"/>
    <n v="4"/>
    <x v="3"/>
    <n v="9"/>
    <n v="2489"/>
    <n v="4"/>
    <s v="16hour53min"/>
    <n v="0.70347222222222228"/>
  </r>
  <r>
    <d v="2025-09-09T00:00:00"/>
    <n v="5"/>
    <x v="4"/>
    <n v="10"/>
    <n v="3714"/>
    <n v="5"/>
    <s v="7hour34min"/>
    <n v="0.31527777777777777"/>
  </r>
  <r>
    <d v="2025-09-10T00:00:00"/>
    <n v="7"/>
    <x v="4"/>
    <n v="13"/>
    <n v="5733"/>
    <n v="7"/>
    <s v="16hour12min"/>
    <n v="0.67500000000000004"/>
  </r>
  <r>
    <d v="2025-09-11T00:00:00"/>
    <n v="8"/>
    <x v="4"/>
    <n v="19"/>
    <n v="5907"/>
    <n v="8"/>
    <s v="14hour42min"/>
    <n v="0.61250000000000004"/>
  </r>
  <r>
    <d v="2025-09-12T00:00:00"/>
    <n v="6"/>
    <x v="3"/>
    <n v="12"/>
    <n v="4305"/>
    <n v="6"/>
    <s v="10hour56min"/>
    <n v="0.45555555555555555"/>
  </r>
  <r>
    <d v="2025-09-13T00:00:00"/>
    <n v="6"/>
    <x v="4"/>
    <n v="14"/>
    <n v="4882"/>
    <n v="6"/>
    <s v="11hour3min"/>
    <n v="0.46041666666666664"/>
  </r>
  <r>
    <d v="2025-09-14T00:00:00"/>
    <n v="10"/>
    <x v="8"/>
    <n v="23"/>
    <n v="7481"/>
    <n v="10"/>
    <s v="33hour26min"/>
    <n v="0.39305555555555549"/>
  </r>
  <r>
    <d v="2025-09-15T00:00:00"/>
    <n v="11"/>
    <x v="8"/>
    <n v="27"/>
    <n v="10246"/>
    <n v="11"/>
    <s v="48hour30min"/>
    <n v="2.0833333333333481E-2"/>
  </r>
  <r>
    <d v="2025-09-16T00:00:00"/>
    <n v="11"/>
    <x v="5"/>
    <n v="25"/>
    <n v="8108"/>
    <n v="11"/>
    <s v="20hour49min"/>
    <n v="0.86736111111111114"/>
  </r>
  <r>
    <d v="2025-09-17T00:00:00"/>
    <n v="4"/>
    <x v="3"/>
    <n v="6"/>
    <n v="1400"/>
    <n v="4"/>
    <s v="9hour51min"/>
    <n v="0.41041666666666665"/>
  </r>
  <r>
    <d v="2025-09-18T00:00:00"/>
    <n v="7"/>
    <x v="3"/>
    <n v="23"/>
    <n v="9430"/>
    <n v="7"/>
    <s v="34hour51min"/>
    <n v="0.45208333333333339"/>
  </r>
  <r>
    <d v="2025-09-19T00:00:00"/>
    <n v="5"/>
    <x v="2"/>
    <n v="9"/>
    <n v="3117"/>
    <n v="5"/>
    <s v="11hour25min"/>
    <n v="0.47569444444444442"/>
  </r>
  <r>
    <d v="2025-09-20T00:00:00"/>
    <n v="6"/>
    <x v="3"/>
    <n v="12"/>
    <n v="4576"/>
    <n v="6"/>
    <s v="13hour55min"/>
    <n v="0.57986111111111116"/>
  </r>
  <r>
    <d v="2025-09-21T00:00:00"/>
    <n v="8"/>
    <x v="6"/>
    <n v="19"/>
    <n v="7413"/>
    <n v="8"/>
    <s v="47hour34min"/>
    <n v="0.98194444444444451"/>
  </r>
  <r>
    <d v="2025-09-22T00:00:00"/>
    <n v="7"/>
    <x v="6"/>
    <n v="12"/>
    <n v="4135"/>
    <n v="7"/>
    <s v="12hour54min"/>
    <n v="0.53749999999999998"/>
  </r>
  <r>
    <d v="2025-09-23T00:00:00"/>
    <n v="8"/>
    <x v="4"/>
    <n v="18"/>
    <n v="5839"/>
    <n v="8"/>
    <s v="43hour53min"/>
    <n v="0.82847222222222228"/>
  </r>
  <r>
    <d v="2025-09-24T00:00:00"/>
    <n v="11"/>
    <x v="6"/>
    <n v="23"/>
    <n v="8618"/>
    <n v="11"/>
    <s v="45hour49min"/>
    <n v="0.90902777777777777"/>
  </r>
  <r>
    <d v="2025-09-25T00:00:00"/>
    <n v="4"/>
    <x v="3"/>
    <n v="10"/>
    <n v="3834"/>
    <n v="4"/>
    <s v="13hour45min"/>
    <n v="0.57291666666666663"/>
  </r>
  <r>
    <d v="2025-09-26T00:00:00"/>
    <n v="5"/>
    <x v="4"/>
    <n v="16"/>
    <n v="4824"/>
    <n v="5"/>
    <s v="71hour43min"/>
    <n v="0.98819444444444438"/>
  </r>
  <r>
    <d v="2025-09-27T00:00:00"/>
    <n v="4"/>
    <x v="2"/>
    <n v="11"/>
    <n v="3992"/>
    <n v="4"/>
    <s v="7hour7min"/>
    <n v="0.29652777777777778"/>
  </r>
  <r>
    <d v="2025-09-28T00:00:00"/>
    <n v="11"/>
    <x v="8"/>
    <n v="19"/>
    <n v="6583"/>
    <n v="11"/>
    <s v="11hour6min"/>
    <n v="0.46250000000000002"/>
  </r>
  <r>
    <d v="2025-09-29T00:00:00"/>
    <n v="6"/>
    <x v="4"/>
    <n v="10"/>
    <n v="3660"/>
    <n v="6"/>
    <s v="17hour33min"/>
    <n v="0.73124999999999996"/>
  </r>
  <r>
    <d v="2025-09-30T00:00:00"/>
    <n v="6"/>
    <x v="4"/>
    <n v="12"/>
    <n v="4704"/>
    <n v="6"/>
    <s v="12hour46min"/>
    <n v="0.53194444444444444"/>
  </r>
  <r>
    <d v="2025-10-01T00:00:00"/>
    <n v="7"/>
    <x v="4"/>
    <n v="16"/>
    <n v="5258"/>
    <n v="7"/>
    <s v="11hour10min"/>
    <n v="0.46527777777777779"/>
  </r>
  <r>
    <d v="2025-10-02T00:00:00"/>
    <n v="9"/>
    <x v="4"/>
    <n v="18"/>
    <n v="6117"/>
    <n v="9"/>
    <s v="38hour33min"/>
    <n v="0.60624999999999996"/>
  </r>
  <r>
    <d v="2025-10-03T00:00:00"/>
    <n v="3"/>
    <x v="1"/>
    <n v="12"/>
    <n v="3415"/>
    <n v="3"/>
    <s v="10hour22min"/>
    <n v="0.43194444444444446"/>
  </r>
  <r>
    <d v="2025-10-04T00:00:00"/>
    <n v="10"/>
    <x v="5"/>
    <n v="18"/>
    <n v="4516"/>
    <n v="10"/>
    <s v="14hour28min"/>
    <n v="0.60277777777777775"/>
  </r>
  <r>
    <d v="2025-10-05T00:00:00"/>
    <n v="7"/>
    <x v="6"/>
    <n v="16"/>
    <n v="5349"/>
    <n v="7"/>
    <s v="20hour27min"/>
    <n v="0.8520833333333333"/>
  </r>
  <r>
    <d v="2025-10-06T00:00:00"/>
    <n v="9"/>
    <x v="5"/>
    <n v="22"/>
    <n v="8773"/>
    <n v="9"/>
    <s v="19hour27min"/>
    <n v="0.81041666666666667"/>
  </r>
  <r>
    <d v="2025-10-07T00:00:00"/>
    <n v="9"/>
    <x v="6"/>
    <n v="21"/>
    <n v="8676"/>
    <n v="9"/>
    <s v="18hour33min"/>
    <n v="0.7729166666666667"/>
  </r>
  <r>
    <d v="2025-10-08T00:00:00"/>
    <n v="4"/>
    <x v="3"/>
    <n v="6"/>
    <n v="2103"/>
    <n v="4"/>
    <s v="15hour16min"/>
    <n v="0.63611111111111107"/>
  </r>
  <r>
    <d v="2025-10-09T00:00:00"/>
    <n v="9"/>
    <x v="6"/>
    <n v="22"/>
    <n v="9982"/>
    <n v="9"/>
    <s v="30hour56min"/>
    <n v="0.28888888888888897"/>
  </r>
  <r>
    <d v="2025-10-10T00:00:00"/>
    <n v="9"/>
    <x v="8"/>
    <n v="24"/>
    <n v="8111"/>
    <n v="9"/>
    <s v="25hour33min"/>
    <n v="6.4583333333333437E-2"/>
  </r>
  <r>
    <d v="2025-10-11T00:00:00"/>
    <n v="8"/>
    <x v="2"/>
    <n v="16"/>
    <n v="4767"/>
    <n v="8"/>
    <s v="40hour17min"/>
    <n v="0.67847222222222214"/>
  </r>
  <r>
    <d v="2025-10-12T00:00:00"/>
    <n v="12"/>
    <x v="8"/>
    <n v="29"/>
    <n v="11600"/>
    <n v="12"/>
    <s v="42hour7min"/>
    <n v="0.7548611111111112"/>
  </r>
  <r>
    <d v="2025-10-13T00:00:00"/>
    <n v="9"/>
    <x v="6"/>
    <n v="17"/>
    <n v="7210"/>
    <n v="9"/>
    <s v="17hour29min"/>
    <n v="0.72847222222222219"/>
  </r>
  <r>
    <d v="2025-10-14T00:00:00"/>
    <n v="10"/>
    <x v="8"/>
    <n v="25"/>
    <n v="9315"/>
    <n v="10"/>
    <s v="51hour10min"/>
    <n v="0.13194444444444464"/>
  </r>
  <r>
    <d v="2025-10-15T00:00:00"/>
    <n v="5"/>
    <x v="2"/>
    <n v="13"/>
    <n v="5125"/>
    <n v="5"/>
    <s v="6hour37min"/>
    <n v="0.27569444444444446"/>
  </r>
  <r>
    <d v="2025-10-16T00:00:00"/>
    <n v="7"/>
    <x v="4"/>
    <n v="21"/>
    <n v="6864"/>
    <n v="7"/>
    <s v="14hour33min"/>
    <n v="0.60624999999999996"/>
  </r>
  <r>
    <d v="2025-10-17T00:00:00"/>
    <n v="6"/>
    <x v="4"/>
    <n v="17"/>
    <n v="5762"/>
    <n v="6"/>
    <s v="29hour1min"/>
    <n v="0.20902777777777781"/>
  </r>
  <r>
    <d v="2025-10-18T00:00:00"/>
    <n v="10"/>
    <x v="7"/>
    <n v="26"/>
    <n v="8919"/>
    <n v="11"/>
    <s v="29hour2min"/>
    <n v="0.20972222222222214"/>
  </r>
  <r>
    <d v="2025-10-19T00:00:00"/>
    <n v="3"/>
    <x v="2"/>
    <n v="5"/>
    <n v="1635"/>
    <n v="3"/>
    <s v="9hour13min"/>
    <n v="0.3840277777777778"/>
  </r>
  <r>
    <d v="2025-10-20T00:00:00"/>
    <n v="9"/>
    <x v="8"/>
    <n v="21"/>
    <n v="7099"/>
    <n v="9"/>
    <s v="24hour55min"/>
    <n v="3.819444444444442E-2"/>
  </r>
  <r>
    <d v="2025-10-21T00:00:00"/>
    <n v="3"/>
    <x v="2"/>
    <n v="10"/>
    <n v="4151"/>
    <n v="3"/>
    <s v="3hour14min"/>
    <n v="0.13472222222222222"/>
  </r>
  <r>
    <d v="2025-10-22T00:00:00"/>
    <n v="10"/>
    <x v="8"/>
    <n v="26"/>
    <n v="9705"/>
    <n v="10"/>
    <s v="30hour35min"/>
    <n v="0.27430555555555558"/>
  </r>
  <r>
    <d v="2025-10-23T00:00:00"/>
    <n v="4"/>
    <x v="2"/>
    <n v="9"/>
    <n v="2701"/>
    <n v="4"/>
    <s v="14hour2min"/>
    <n v="0.58472222222222225"/>
  </r>
  <r>
    <d v="2025-10-24T00:00:00"/>
    <n v="10"/>
    <x v="6"/>
    <n v="19"/>
    <n v="8002"/>
    <n v="10"/>
    <s v="23hour31min"/>
    <n v="0.97986111111111107"/>
  </r>
  <r>
    <d v="2025-10-25T00:00:00"/>
    <n v="17"/>
    <x v="8"/>
    <n v="37"/>
    <n v="14472"/>
    <n v="17"/>
    <s v="47hour14min"/>
    <n v="0.96805555555555545"/>
  </r>
  <r>
    <d v="2025-10-26T00:00:00"/>
    <n v="6"/>
    <x v="6"/>
    <n v="13"/>
    <n v="4313"/>
    <n v="6"/>
    <s v="24hour42min"/>
    <n v="2.9166666666666563E-2"/>
  </r>
  <r>
    <d v="2025-10-27T00:00:00"/>
    <n v="8"/>
    <x v="6"/>
    <n v="17"/>
    <n v="5063"/>
    <n v="8"/>
    <s v="13hour9min"/>
    <n v="0.54791666666666672"/>
  </r>
  <r>
    <d v="2025-10-28T00:00:00"/>
    <n v="6"/>
    <x v="3"/>
    <n v="10"/>
    <n v="3700"/>
    <n v="6"/>
    <s v="27hour22min"/>
    <n v="0.14027777777777772"/>
  </r>
  <r>
    <d v="2025-10-29T00:00:00"/>
    <n v="10"/>
    <x v="8"/>
    <n v="24"/>
    <n v="8033"/>
    <n v="10"/>
    <s v="29hour3min"/>
    <n v="0.2104166666666667"/>
  </r>
  <r>
    <d v="2025-10-30T00:00:00"/>
    <n v="7"/>
    <x v="6"/>
    <n v="16"/>
    <n v="7108"/>
    <n v="7"/>
    <s v="46hour22min"/>
    <n v="0.93194444444444446"/>
  </r>
  <r>
    <d v="2025-10-31T00:00:00"/>
    <n v="8"/>
    <x v="6"/>
    <n v="15"/>
    <n v="4897"/>
    <n v="8"/>
    <s v="32hour55min"/>
    <n v="0.37152777777777768"/>
  </r>
  <r>
    <d v="2025-11-01T00:00:00"/>
    <n v="11"/>
    <x v="8"/>
    <n v="22"/>
    <n v="6814"/>
    <n v="11"/>
    <s v="28hour5min"/>
    <n v="0.17013888888888884"/>
  </r>
  <r>
    <d v="2025-11-02T00:00:00"/>
    <n v="6"/>
    <x v="3"/>
    <n v="11"/>
    <n v="4307"/>
    <n v="6"/>
    <s v="8hour36min"/>
    <n v="0.35833333333333334"/>
  </r>
  <r>
    <d v="2025-11-03T00:00:00"/>
    <n v="8"/>
    <x v="4"/>
    <n v="18"/>
    <n v="6928"/>
    <n v="8"/>
    <s v="27hour23min"/>
    <n v="0.14097222222222228"/>
  </r>
  <r>
    <d v="2025-11-04T00:00:00"/>
    <n v="8"/>
    <x v="4"/>
    <n v="17"/>
    <n v="6278"/>
    <n v="8"/>
    <s v="23hour52min"/>
    <n v="0.99444444444444446"/>
  </r>
  <r>
    <d v="2025-11-05T00:00:00"/>
    <n v="7"/>
    <x v="4"/>
    <n v="13"/>
    <n v="5305"/>
    <n v="7"/>
    <s v="10hour46min"/>
    <n v="0.44861111111111113"/>
  </r>
  <r>
    <d v="2025-11-06T00:00:00"/>
    <n v="4"/>
    <x v="3"/>
    <n v="12"/>
    <n v="3597"/>
    <n v="4"/>
    <s v="24hour20min"/>
    <n v="1.388888888888884E-2"/>
  </r>
  <r>
    <d v="2025-11-07T00:00:00"/>
    <n v="6"/>
    <x v="4"/>
    <n v="10"/>
    <n v="3353"/>
    <n v="6"/>
    <s v="21hour12min"/>
    <n v="0.8833333333333333"/>
  </r>
  <r>
    <d v="2025-11-08T00:00:00"/>
    <n v="6"/>
    <x v="3"/>
    <n v="19"/>
    <n v="6452"/>
    <n v="6"/>
    <s v="25hour3min"/>
    <n v="4.3749999999999956E-2"/>
  </r>
  <r>
    <d v="2025-11-09T00:00:00"/>
    <n v="10"/>
    <x v="5"/>
    <n v="23"/>
    <n v="7466"/>
    <n v="10"/>
    <s v="62hour43min"/>
    <n v="0.61319444444444438"/>
  </r>
  <r>
    <d v="2025-11-10T00:00:00"/>
    <n v="9"/>
    <x v="8"/>
    <n v="24"/>
    <n v="8058"/>
    <n v="9"/>
    <s v="21hour29min"/>
    <n v="0.89513888888888893"/>
  </r>
  <r>
    <d v="2025-11-11T00:00:00"/>
    <n v="4"/>
    <x v="3"/>
    <n v="7"/>
    <n v="2711"/>
    <n v="4"/>
    <s v="14hour45min"/>
    <n v="0.61458333333333337"/>
  </r>
  <r>
    <d v="2025-11-12T00:00:00"/>
    <n v="12"/>
    <x v="5"/>
    <n v="25"/>
    <n v="9097"/>
    <n v="13"/>
    <s v="49hour22min"/>
    <n v="5.6944444444444464E-2"/>
  </r>
  <r>
    <d v="2025-11-13T00:00:00"/>
    <n v="8"/>
    <x v="4"/>
    <n v="16"/>
    <n v="7099"/>
    <n v="8"/>
    <s v="7hour30min"/>
    <n v="0.3125"/>
  </r>
  <r>
    <d v="2025-11-14T00:00:00"/>
    <n v="7"/>
    <x v="4"/>
    <n v="12"/>
    <n v="5614"/>
    <n v="7"/>
    <s v="15hour41min"/>
    <n v="0.65347222222222223"/>
  </r>
  <r>
    <d v="2025-11-15T00:00:00"/>
    <n v="8"/>
    <x v="6"/>
    <n v="15"/>
    <n v="5723"/>
    <n v="8"/>
    <s v="12hour29min"/>
    <n v="0.52013888888888893"/>
  </r>
  <r>
    <d v="2025-11-16T00:00:00"/>
    <n v="7"/>
    <x v="4"/>
    <n v="11"/>
    <n v="3627"/>
    <n v="7"/>
    <s v="8hour47min"/>
    <n v="0.3659722222222222"/>
  </r>
  <r>
    <d v="2025-11-17T00:00:00"/>
    <n v="9"/>
    <x v="6"/>
    <n v="29"/>
    <n v="9967"/>
    <n v="11"/>
    <s v="20hour27min"/>
    <n v="0.8520833333333333"/>
  </r>
  <r>
    <d v="2025-11-18T00:00:00"/>
    <n v="7"/>
    <x v="8"/>
    <n v="20"/>
    <n v="7727"/>
    <n v="7"/>
    <s v="19hour21min"/>
    <n v="0.80625000000000002"/>
  </r>
  <r>
    <d v="2025-11-19T00:00:00"/>
    <n v="6"/>
    <x v="3"/>
    <n v="15"/>
    <n v="4002"/>
    <n v="6"/>
    <s v="21hour55min"/>
    <n v="0.91319444444444442"/>
  </r>
  <r>
    <d v="2025-11-20T00:00:00"/>
    <n v="11"/>
    <x v="8"/>
    <n v="26"/>
    <n v="10036"/>
    <n v="11"/>
    <s v="30hour20min"/>
    <n v="0.26388888888888884"/>
  </r>
  <r>
    <d v="2025-11-21T00:00:00"/>
    <n v="7"/>
    <x v="4"/>
    <n v="15"/>
    <n v="4720"/>
    <n v="7"/>
    <s v="9hour59min"/>
    <n v="0.41597222222222224"/>
  </r>
  <r>
    <d v="2025-11-22T00:00:00"/>
    <n v="10"/>
    <x v="4"/>
    <n v="21"/>
    <n v="7042"/>
    <n v="10"/>
    <s v="43hour9min"/>
    <n v="0.79791666666666661"/>
  </r>
  <r>
    <d v="2025-11-23T00:00:00"/>
    <n v="5"/>
    <x v="3"/>
    <n v="13"/>
    <n v="5467"/>
    <n v="5"/>
    <s v="10hour42min"/>
    <n v="0.44583333333333336"/>
  </r>
  <r>
    <d v="2025-11-24T00:00:00"/>
    <n v="10"/>
    <x v="5"/>
    <n v="18"/>
    <n v="6812"/>
    <n v="10"/>
    <s v="17hour20min"/>
    <n v="0.72222222222222221"/>
  </r>
  <r>
    <d v="2025-11-25T00:00:00"/>
    <n v="16"/>
    <x v="5"/>
    <n v="43"/>
    <n v="14608"/>
    <n v="16"/>
    <s v="52hour15min"/>
    <n v="0.17708333333333348"/>
  </r>
  <r>
    <d v="2025-11-26T00:00:00"/>
    <n v="10"/>
    <x v="8"/>
    <n v="18"/>
    <n v="5241"/>
    <n v="10"/>
    <s v="17hour28min"/>
    <n v="0.72777777777777775"/>
  </r>
  <r>
    <d v="2025-11-27T00:00:00"/>
    <n v="10"/>
    <x v="6"/>
    <n v="21"/>
    <n v="6874"/>
    <n v="10"/>
    <s v="36hour58min"/>
    <n v="0.54027777777777786"/>
  </r>
  <r>
    <d v="2025-11-28T00:00:00"/>
    <n v="12"/>
    <x v="7"/>
    <n v="27"/>
    <n v="9654"/>
    <n v="12"/>
    <s v="24hour26min"/>
    <n v="1.8055555555555491E-2"/>
  </r>
  <r>
    <d v="2025-11-29T00:00:00"/>
    <n v="10"/>
    <x v="8"/>
    <n v="20"/>
    <n v="8538"/>
    <n v="10"/>
    <s v="25hour5min"/>
    <n v="4.513888888888884E-2"/>
  </r>
  <r>
    <d v="2025-11-30T00:00:00"/>
    <n v="12"/>
    <x v="6"/>
    <n v="30"/>
    <n v="8932"/>
    <n v="12"/>
    <s v="18hour1min"/>
    <n v="0.75069444444444444"/>
  </r>
  <r>
    <d v="2025-12-01T00:00:00"/>
    <n v="11"/>
    <x v="8"/>
    <n v="26"/>
    <n v="9553"/>
    <n v="11"/>
    <s v="55hour14min"/>
    <n v="0.30138888888888893"/>
  </r>
  <r>
    <d v="2025-12-02T00:00:00"/>
    <n v="11"/>
    <x v="5"/>
    <n v="18"/>
    <n v="5348"/>
    <n v="11"/>
    <s v="15hour40min"/>
    <n v="0.65277777777777779"/>
  </r>
  <r>
    <d v="2025-12-03T00:00:00"/>
    <n v="10"/>
    <x v="4"/>
    <n v="23"/>
    <n v="7074"/>
    <n v="10"/>
    <s v="39hour18min"/>
    <n v="0.63749999999999996"/>
  </r>
  <r>
    <d v="2025-12-04T00:00:00"/>
    <n v="6"/>
    <x v="3"/>
    <n v="15"/>
    <n v="4952"/>
    <n v="6"/>
    <s v="10hour56min"/>
    <n v="0.45555555555555555"/>
  </r>
  <r>
    <d v="2025-12-05T00:00:00"/>
    <n v="12"/>
    <x v="5"/>
    <n v="35"/>
    <n v="9762"/>
    <n v="12"/>
    <s v="56hour0min"/>
    <n v="0.33333333333333348"/>
  </r>
  <r>
    <d v="2025-12-06T00:00:00"/>
    <n v="4"/>
    <x v="3"/>
    <n v="7"/>
    <n v="1535"/>
    <n v="4"/>
    <s v="4hour39min"/>
    <n v="0.19375000000000001"/>
  </r>
  <r>
    <d v="2025-12-07T00:00:00"/>
    <n v="7"/>
    <x v="6"/>
    <n v="19"/>
    <n v="6470"/>
    <n v="7"/>
    <s v="19hour28min"/>
    <n v="0.81111111111111112"/>
  </r>
  <r>
    <d v="2025-12-08T00:00:00"/>
    <n v="7"/>
    <x v="6"/>
    <n v="18"/>
    <n v="6188"/>
    <n v="7"/>
    <s v="14hour43min"/>
    <n v="0.61319444444444449"/>
  </r>
  <r>
    <d v="2025-12-09T00:00:00"/>
    <n v="9"/>
    <x v="6"/>
    <n v="26"/>
    <n v="8488"/>
    <n v="9"/>
    <s v="18hour36min"/>
    <n v="0.77500000000000002"/>
  </r>
  <r>
    <d v="2025-12-10T00:00:00"/>
    <n v="7"/>
    <x v="4"/>
    <n v="13"/>
    <n v="5033"/>
    <n v="7"/>
    <s v="19hour1min"/>
    <n v="0.79236111111111107"/>
  </r>
  <r>
    <d v="2025-12-11T00:00:00"/>
    <n v="13"/>
    <x v="7"/>
    <n v="28"/>
    <n v="9109"/>
    <n v="13"/>
    <s v="42hour19min"/>
    <n v="0.76319444444444451"/>
  </r>
  <r>
    <d v="2025-12-12T00:00:00"/>
    <n v="12"/>
    <x v="6"/>
    <n v="32"/>
    <n v="12235"/>
    <n v="12"/>
    <s v="48hour44min"/>
    <n v="3.0555555555555447E-2"/>
  </r>
  <r>
    <d v="2025-12-13T00:00:00"/>
    <n v="12"/>
    <x v="8"/>
    <n v="28"/>
    <n v="9092"/>
    <n v="12"/>
    <s v="37hour13min"/>
    <n v="0.55069444444444438"/>
  </r>
  <r>
    <d v="2025-12-14T00:00:00"/>
    <n v="13"/>
    <x v="6"/>
    <n v="26"/>
    <n v="8876"/>
    <n v="13"/>
    <s v="56hour44min"/>
    <n v="0.36388888888888893"/>
  </r>
  <r>
    <d v="2025-12-15T00:00:00"/>
    <n v="10"/>
    <x v="6"/>
    <n v="19"/>
    <n v="6206"/>
    <n v="10"/>
    <s v="56hour8min"/>
    <n v="0.33888888888888902"/>
  </r>
  <r>
    <d v="2025-12-16T00:00:00"/>
    <n v="8"/>
    <x v="6"/>
    <n v="15"/>
    <n v="5200"/>
    <n v="8"/>
    <s v="21hour23min"/>
    <n v="0.89097222222222228"/>
  </r>
  <r>
    <d v="2025-12-17T00:00:00"/>
    <n v="9"/>
    <x v="3"/>
    <n v="29"/>
    <n v="10545"/>
    <n v="9"/>
    <s v="40hour18min"/>
    <n v="0.6791666666666667"/>
  </r>
  <r>
    <d v="2025-12-18T00:00:00"/>
    <n v="3"/>
    <x v="2"/>
    <n v="8"/>
    <n v="3220"/>
    <n v="3"/>
    <s v="10hour13min"/>
    <n v="0.42569444444444443"/>
  </r>
  <r>
    <d v="2025-12-19T00:00:00"/>
    <n v="5"/>
    <x v="2"/>
    <n v="10"/>
    <n v="3865"/>
    <n v="5"/>
    <s v="14hour54min"/>
    <n v="0.62083333333333335"/>
  </r>
  <r>
    <d v="2025-12-20T00:00:00"/>
    <n v="6"/>
    <x v="6"/>
    <n v="11"/>
    <n v="3697"/>
    <n v="6"/>
    <s v="17hour37min"/>
    <n v="0.73402777777777772"/>
  </r>
  <r>
    <d v="2025-12-21T00:00:00"/>
    <n v="9"/>
    <x v="4"/>
    <n v="24"/>
    <n v="7881"/>
    <n v="9"/>
    <s v="32hour40min"/>
    <n v="0.36111111111111116"/>
  </r>
  <r>
    <d v="2025-12-22T00:00:00"/>
    <n v="8"/>
    <x v="6"/>
    <n v="24"/>
    <n v="9101"/>
    <n v="8"/>
    <s v="34hour10min"/>
    <n v="0.42361111111111116"/>
  </r>
  <r>
    <d v="2025-12-23T00:00:00"/>
    <n v="13"/>
    <x v="7"/>
    <n v="34"/>
    <n v="14326"/>
    <n v="14"/>
    <s v="80hour10min"/>
    <n v="0.34027777777777768"/>
  </r>
  <r>
    <d v="2025-12-24T00:00:00"/>
    <n v="10"/>
    <x v="8"/>
    <n v="26"/>
    <n v="8878"/>
    <n v="10"/>
    <s v="45hour0min"/>
    <n v="0.875"/>
  </r>
  <r>
    <d v="2025-12-25T00:00:00"/>
    <n v="6"/>
    <x v="3"/>
    <n v="8"/>
    <n v="2462"/>
    <n v="6"/>
    <s v="13hour45min"/>
    <n v="0.57291666666666663"/>
  </r>
  <r>
    <d v="2025-12-26T00:00:00"/>
    <n v="10"/>
    <x v="3"/>
    <n v="25"/>
    <n v="9883"/>
    <n v="10"/>
    <s v="53hour4min"/>
    <n v="0.21111111111111125"/>
  </r>
  <r>
    <d v="2025-12-27T00:00:00"/>
    <n v="11"/>
    <x v="6"/>
    <n v="29"/>
    <n v="9987"/>
    <n v="11"/>
    <s v="24hour28min"/>
    <n v="1.9444444444444375E-2"/>
  </r>
  <r>
    <d v="2025-12-28T00:00:00"/>
    <n v="5"/>
    <x v="3"/>
    <n v="11"/>
    <n v="5112"/>
    <n v="5"/>
    <s v="9hour12min"/>
    <n v="0.38333333333333336"/>
  </r>
  <r>
    <d v="2025-12-29T00:00:00"/>
    <n v="12"/>
    <x v="5"/>
    <n v="25"/>
    <n v="9019"/>
    <n v="12"/>
    <s v="19hour50min"/>
    <n v="0.82638888888888884"/>
  </r>
  <r>
    <d v="2025-12-30T00:00:00"/>
    <n v="14"/>
    <x v="8"/>
    <n v="35"/>
    <n v="11570"/>
    <n v="14"/>
    <s v="43hour10min"/>
    <n v="0.79861111111111116"/>
  </r>
  <r>
    <d v="2025-12-31T00:00:00"/>
    <n v="10"/>
    <x v="6"/>
    <n v="28"/>
    <n v="10433"/>
    <n v="10"/>
    <s v="28hour29min"/>
    <n v="0.18680555555555545"/>
  </r>
  <r>
    <d v="2026-01-01T00:00:00"/>
    <n v="4"/>
    <x v="2"/>
    <n v="9"/>
    <n v="2899"/>
    <n v="4"/>
    <s v="9hour51min"/>
    <n v="0.41041666666666665"/>
  </r>
  <r>
    <d v="2026-01-02T00:00:00"/>
    <n v="11"/>
    <x v="4"/>
    <n v="27"/>
    <n v="9211"/>
    <n v="11"/>
    <s v="22hour43min"/>
    <n v="0.94652777777777775"/>
  </r>
  <r>
    <d v="2026-01-03T00:00:00"/>
    <n v="15"/>
    <x v="9"/>
    <n v="30"/>
    <n v="11716"/>
    <n v="15"/>
    <s v="55hour27min"/>
    <n v="0.31041666666666679"/>
  </r>
  <r>
    <d v="2026-01-04T00:00:00"/>
    <n v="9"/>
    <x v="6"/>
    <n v="29"/>
    <n v="9461"/>
    <n v="9"/>
    <s v="39hour27min"/>
    <n v="0.64375000000000004"/>
  </r>
  <r>
    <d v="2026-01-05T00:00:00"/>
    <n v="8"/>
    <x v="4"/>
    <n v="18"/>
    <n v="7128"/>
    <n v="8"/>
    <s v="36hour9min"/>
    <n v="0.50625000000000009"/>
  </r>
  <r>
    <d v="2026-01-06T00:00:00"/>
    <n v="9"/>
    <x v="8"/>
    <n v="23"/>
    <n v="7648"/>
    <n v="9"/>
    <s v="34hour4min"/>
    <n v="0.41944444444444451"/>
  </r>
  <r>
    <d v="2026-01-07T00:00:00"/>
    <n v="8"/>
    <x v="8"/>
    <n v="15"/>
    <n v="6091"/>
    <n v="8"/>
    <s v="10hour11min"/>
    <n v="0.42430555555555555"/>
  </r>
  <r>
    <d v="2026-01-08T00:00:00"/>
    <n v="11"/>
    <x v="8"/>
    <n v="25"/>
    <n v="9182"/>
    <n v="11"/>
    <s v="48hour0min"/>
    <n v="0"/>
  </r>
  <r>
    <d v="2026-01-09T00:00:00"/>
    <n v="8"/>
    <x v="6"/>
    <n v="22"/>
    <n v="8393"/>
    <n v="8"/>
    <s v="38hour53min"/>
    <n v="0.6201388888888888"/>
  </r>
  <r>
    <d v="2026-01-10T00:00:00"/>
    <n v="6"/>
    <x v="3"/>
    <n v="15"/>
    <n v="4470"/>
    <n v="6"/>
    <s v="22hour5min"/>
    <n v="0.92013888888888884"/>
  </r>
  <r>
    <d v="2026-01-11T00:00:00"/>
    <n v="7"/>
    <x v="6"/>
    <n v="13"/>
    <n v="4579"/>
    <n v="7"/>
    <s v="40hour5min"/>
    <n v="0.67013888888888884"/>
  </r>
  <r>
    <d v="2026-01-12T00:00:00"/>
    <n v="8"/>
    <x v="6"/>
    <n v="19"/>
    <n v="6637"/>
    <n v="8"/>
    <s v="17hour52min"/>
    <n v="0.74444444444444446"/>
  </r>
  <r>
    <d v="2026-01-13T00:00:00"/>
    <n v="12"/>
    <x v="7"/>
    <n v="31"/>
    <n v="11578"/>
    <n v="12"/>
    <s v="83hour42min"/>
    <n v="0.48749999999999982"/>
  </r>
  <r>
    <d v="2026-01-14T00:00:00"/>
    <n v="11"/>
    <x v="8"/>
    <n v="30"/>
    <n v="10745"/>
    <n v="11"/>
    <s v="34hour26min"/>
    <n v="0.43472222222222223"/>
  </r>
  <r>
    <d v="2026-01-15T00:00:00"/>
    <n v="10"/>
    <x v="6"/>
    <n v="17"/>
    <n v="7047"/>
    <n v="10"/>
    <s v="13hour16min"/>
    <n v="0.55277777777777781"/>
  </r>
  <r>
    <d v="2026-01-16T00:00:00"/>
    <n v="9"/>
    <x v="6"/>
    <n v="19"/>
    <n v="5952"/>
    <n v="9"/>
    <s v="28hour3min"/>
    <n v="0.16874999999999996"/>
  </r>
  <r>
    <d v="2026-01-17T00:00:00"/>
    <n v="13"/>
    <x v="9"/>
    <n v="29"/>
    <n v="9477"/>
    <n v="13"/>
    <s v="49hour45min"/>
    <n v="7.2916666666666519E-2"/>
  </r>
  <r>
    <d v="2026-01-18T00:00:00"/>
    <n v="4"/>
    <x v="2"/>
    <n v="10"/>
    <n v="3597"/>
    <n v="4"/>
    <s v="7hour27min"/>
    <n v="0.31041666666666667"/>
  </r>
  <r>
    <d v="2026-01-19T00:00:00"/>
    <n v="7"/>
    <x v="4"/>
    <n v="12"/>
    <n v="4387"/>
    <n v="7"/>
    <s v="12hour29min"/>
    <n v="0.52013888888888893"/>
  </r>
  <r>
    <d v="2026-01-20T00:00:00"/>
    <n v="12"/>
    <x v="6"/>
    <n v="29"/>
    <n v="11759"/>
    <n v="12"/>
    <s v="73hour40min"/>
    <n v="6.9444444444444642E-2"/>
  </r>
  <r>
    <d v="2026-01-21T00:00:00"/>
    <n v="6"/>
    <x v="3"/>
    <n v="14"/>
    <n v="4362"/>
    <n v="6"/>
    <s v="52hour0min"/>
    <n v="0.16666666666666652"/>
  </r>
  <r>
    <d v="2026-01-22T00:00:00"/>
    <n v="14"/>
    <x v="8"/>
    <n v="26"/>
    <n v="9915"/>
    <n v="14"/>
    <s v="23hour10min"/>
    <n v="0.96527777777777779"/>
  </r>
  <r>
    <d v="2026-01-23T00:00:00"/>
    <n v="12"/>
    <x v="5"/>
    <n v="28"/>
    <n v="9081"/>
    <n v="12"/>
    <s v="31hour7min"/>
    <n v="0.29652777777777772"/>
  </r>
  <r>
    <d v="2026-01-24T00:00:00"/>
    <n v="10"/>
    <x v="6"/>
    <n v="36"/>
    <n v="13376"/>
    <n v="10"/>
    <s v="36hour27min"/>
    <n v="0.51875000000000004"/>
  </r>
  <r>
    <d v="2026-01-25T00:00:00"/>
    <n v="12"/>
    <x v="5"/>
    <n v="23"/>
    <n v="7982"/>
    <n v="12"/>
    <s v="19hour15min"/>
    <n v="0.80208333333333337"/>
  </r>
  <r>
    <d v="2026-01-26T00:00:00"/>
    <n v="12"/>
    <x v="6"/>
    <n v="23"/>
    <n v="7842"/>
    <n v="12"/>
    <s v="35hour32min"/>
    <n v="0.48055555555555562"/>
  </r>
  <r>
    <d v="2026-01-27T00:00:00"/>
    <n v="9"/>
    <x v="5"/>
    <n v="15"/>
    <n v="4708"/>
    <n v="9"/>
    <s v="9hour33min"/>
    <n v="0.39791666666666664"/>
  </r>
  <r>
    <d v="2026-01-28T00:00:00"/>
    <n v="16"/>
    <x v="6"/>
    <n v="39"/>
    <n v="15455"/>
    <n v="16"/>
    <s v="56hour47min"/>
    <n v="0.36597222222222214"/>
  </r>
  <r>
    <d v="2026-01-29T00:00:00"/>
    <n v="19"/>
    <x v="7"/>
    <n v="44"/>
    <n v="12845"/>
    <n v="19"/>
    <s v="49hour32min"/>
    <n v="6.3888888888889106E-2"/>
  </r>
  <r>
    <d v="2026-01-30T00:00:00"/>
    <n v="7"/>
    <x v="6"/>
    <n v="20"/>
    <n v="7382"/>
    <n v="7"/>
    <s v="24hour33min"/>
    <n v="2.2916666666666696E-2"/>
  </r>
  <r>
    <d v="2026-01-31T00:00:00"/>
    <n v="6"/>
    <x v="3"/>
    <n v="19"/>
    <n v="7350"/>
    <n v="6"/>
    <s v="30hour2min"/>
    <n v="0.25138888888888888"/>
  </r>
  <r>
    <d v="2026-02-01T00:00:00"/>
    <n v="3"/>
    <x v="1"/>
    <n v="7"/>
    <n v="2216"/>
    <n v="3"/>
    <s v="5hour1min"/>
    <n v="0.20902777777777778"/>
  </r>
  <r>
    <d v="2026-02-02T00:00:00"/>
    <n v="15"/>
    <x v="7"/>
    <n v="32"/>
    <n v="12124"/>
    <n v="15"/>
    <s v="25hour56min"/>
    <n v="8.0555555555555491E-2"/>
  </r>
  <r>
    <d v="2026-02-03T00:00:00"/>
    <n v="16"/>
    <x v="8"/>
    <n v="36"/>
    <n v="11552"/>
    <n v="16"/>
    <s v="37hour42min"/>
    <n v="0.5708333333333333"/>
  </r>
  <r>
    <d v="2026-02-04T00:00:00"/>
    <n v="5"/>
    <x v="2"/>
    <n v="15"/>
    <n v="6379"/>
    <n v="5"/>
    <s v="12hour32min"/>
    <n v="0.52222222222222225"/>
  </r>
  <r>
    <d v="2026-02-05T00:00:00"/>
    <n v="11"/>
    <x v="4"/>
    <n v="33"/>
    <n v="10721"/>
    <n v="12"/>
    <s v="31hour17min"/>
    <n v="0.30347222222222214"/>
  </r>
  <r>
    <d v="2026-02-06T00:00:00"/>
    <n v="6"/>
    <x v="4"/>
    <n v="8"/>
    <n v="3189"/>
    <n v="6"/>
    <s v="11hour34min"/>
    <n v="0.48194444444444445"/>
  </r>
  <r>
    <d v="2026-02-07T00:00:00"/>
    <n v="9"/>
    <x v="4"/>
    <n v="27"/>
    <n v="11021"/>
    <n v="9"/>
    <s v="56hour51min"/>
    <n v="0.36874999999999991"/>
  </r>
  <r>
    <d v="2026-02-08T00:00:00"/>
    <n v="8"/>
    <x v="6"/>
    <n v="9"/>
    <n v="3365"/>
    <n v="8"/>
    <s v="21hour17min"/>
    <n v="0.88680555555555551"/>
  </r>
  <r>
    <d v="2026-02-09T00:00:00"/>
    <n v="7"/>
    <x v="6"/>
    <n v="20"/>
    <n v="7345"/>
    <n v="7"/>
    <s v="39hour50min"/>
    <n v="0.65972222222222232"/>
  </r>
  <r>
    <d v="2026-02-10T00:00:00"/>
    <n v="10"/>
    <x v="8"/>
    <n v="26"/>
    <n v="9389"/>
    <n v="10"/>
    <s v="20hour54min"/>
    <n v="0.87083333333333335"/>
  </r>
  <r>
    <d v="2026-02-11T00:00:00"/>
    <n v="14"/>
    <x v="7"/>
    <n v="36"/>
    <n v="11342"/>
    <n v="14"/>
    <s v="67hour59min"/>
    <n v="0.83263888888888893"/>
  </r>
  <r>
    <d v="2026-02-12T00:00:00"/>
    <n v="10"/>
    <x v="6"/>
    <n v="28"/>
    <n v="10070"/>
    <n v="10"/>
    <s v="22hour33min"/>
    <n v="0.93958333333333333"/>
  </r>
  <r>
    <d v="2026-02-13T00:00:00"/>
    <n v="8"/>
    <x v="8"/>
    <n v="16"/>
    <n v="6172"/>
    <n v="8"/>
    <s v="34hour44min"/>
    <n v="0.44722222222222219"/>
  </r>
  <r>
    <d v="2026-02-14T00:00:00"/>
    <n v="10"/>
    <x v="8"/>
    <n v="16"/>
    <n v="5372"/>
    <n v="10"/>
    <s v="17hour16min"/>
    <n v="0.71944444444444444"/>
  </r>
  <r>
    <d v="2026-02-15T00:00:00"/>
    <n v="10"/>
    <x v="6"/>
    <n v="20"/>
    <n v="7023"/>
    <n v="10"/>
    <s v="15hour35min"/>
    <n v="0.64930555555555558"/>
  </r>
  <r>
    <d v="2026-02-16T00:00:00"/>
    <n v="12"/>
    <x v="5"/>
    <n v="25"/>
    <n v="8214"/>
    <n v="12"/>
    <s v="32hour4min"/>
    <n v="0.33611111111111103"/>
  </r>
  <r>
    <d v="2026-02-17T00:00:00"/>
    <n v="12"/>
    <x v="6"/>
    <n v="28"/>
    <n v="8015"/>
    <n v="12"/>
    <s v="25hour34min"/>
    <n v="6.5277777777777768E-2"/>
  </r>
  <r>
    <d v="2026-02-18T00:00:00"/>
    <n v="6"/>
    <x v="3"/>
    <n v="14"/>
    <n v="4267"/>
    <n v="6"/>
    <s v="10hour59min"/>
    <n v="0.45763888888888887"/>
  </r>
  <r>
    <d v="2026-02-19T00:00:00"/>
    <n v="8"/>
    <x v="6"/>
    <n v="21"/>
    <n v="7264"/>
    <n v="8"/>
    <s v="20hour52min"/>
    <n v="0.86944444444444446"/>
  </r>
  <r>
    <d v="2026-02-20T00:00:00"/>
    <n v="18"/>
    <x v="7"/>
    <n v="37"/>
    <n v="13715"/>
    <n v="18"/>
    <s v="59hour11min"/>
    <n v="0.46597222222222223"/>
  </r>
  <r>
    <d v="2026-02-21T00:00:00"/>
    <n v="19"/>
    <x v="7"/>
    <n v="46"/>
    <n v="16294"/>
    <n v="19"/>
    <s v="80hour12min"/>
    <n v="0.34166666666666679"/>
  </r>
  <r>
    <d v="2026-02-22T00:00:00"/>
    <n v="13"/>
    <x v="5"/>
    <n v="30"/>
    <n v="10363"/>
    <n v="13"/>
    <s v="20hour0min"/>
    <n v="0.83333333333333337"/>
  </r>
  <r>
    <d v="2026-02-23T00:00:00"/>
    <n v="16"/>
    <x v="7"/>
    <n v="39"/>
    <n v="14805"/>
    <n v="16"/>
    <s v="75hour39min"/>
    <n v="0.15208333333333313"/>
  </r>
  <r>
    <d v="2026-02-24T00:00:00"/>
    <n v="15"/>
    <x v="8"/>
    <n v="35"/>
    <n v="13043"/>
    <n v="15"/>
    <s v="28hour43min"/>
    <n v="0.19652777777777786"/>
  </r>
  <r>
    <d v="2026-02-25T00:00:00"/>
    <n v="12"/>
    <x v="8"/>
    <n v="36"/>
    <n v="15552"/>
    <n v="12"/>
    <s v="42hour47min"/>
    <n v="0.78263888888888888"/>
  </r>
  <r>
    <d v="2026-02-26T00:00:00"/>
    <n v="12"/>
    <x v="5"/>
    <n v="31"/>
    <n v="11385"/>
    <n v="12"/>
    <s v="57hour2min"/>
    <n v="0.37638888888888911"/>
  </r>
  <r>
    <d v="2026-02-27T00:00:00"/>
    <n v="14"/>
    <x v="8"/>
    <n v="34"/>
    <n v="12753"/>
    <n v="14"/>
    <s v="46hour44min"/>
    <n v="0.94722222222222219"/>
  </r>
  <r>
    <d v="2026-02-28T00:00:00"/>
    <n v="12"/>
    <x v="5"/>
    <n v="24"/>
    <n v="8378"/>
    <n v="12"/>
    <s v="31hour42min"/>
    <n v="0.3208333333333333"/>
  </r>
  <r>
    <d v="2026-03-01T00:00:00"/>
    <n v="9"/>
    <x v="4"/>
    <n v="17"/>
    <n v="5623"/>
    <n v="9"/>
    <s v="24hour53min"/>
    <n v="3.6805555555555536E-2"/>
  </r>
  <r>
    <d v="2026-03-02T00:00:00"/>
    <n v="16"/>
    <x v="5"/>
    <n v="36"/>
    <n v="11674"/>
    <n v="16"/>
    <s v="39hour16min"/>
    <n v="0.63611111111111107"/>
  </r>
  <r>
    <d v="2026-03-03T00:00:00"/>
    <n v="8"/>
    <x v="6"/>
    <n v="19"/>
    <n v="6340"/>
    <n v="8"/>
    <s v="32hour42min"/>
    <n v="0.36250000000000004"/>
  </r>
  <r>
    <d v="2026-03-04T00:00:00"/>
    <n v="15"/>
    <x v="8"/>
    <n v="33"/>
    <n v="11383"/>
    <n v="15"/>
    <s v="22hour16min"/>
    <n v="0.92777777777777781"/>
  </r>
  <r>
    <d v="2026-03-05T00:00:00"/>
    <n v="9"/>
    <x v="4"/>
    <n v="21"/>
    <n v="7081"/>
    <n v="9"/>
    <s v="23hour32min"/>
    <n v="0.98055555555555551"/>
  </r>
  <r>
    <d v="2026-03-06T00:00:00"/>
    <n v="13"/>
    <x v="8"/>
    <n v="23"/>
    <n v="9258"/>
    <n v="13"/>
    <s v="17hour16min"/>
    <n v="0.71944444444444444"/>
  </r>
  <r>
    <d v="2026-03-07T00:00:00"/>
    <n v="15"/>
    <x v="7"/>
    <n v="25"/>
    <n v="9369"/>
    <n v="15"/>
    <s v="33hour1min"/>
    <n v="0.37569444444444455"/>
  </r>
  <r>
    <d v="2026-03-08T00:00:00"/>
    <n v="19"/>
    <x v="5"/>
    <n v="41"/>
    <n v="16852"/>
    <n v="19"/>
    <s v="57hour14min"/>
    <n v="0.38472222222222241"/>
  </r>
  <r>
    <d v="2026-03-09T00:00:00"/>
    <n v="10"/>
    <x v="6"/>
    <n v="18"/>
    <n v="7333"/>
    <n v="10"/>
    <s v="36hour7min"/>
    <n v="0.5048611111111112"/>
  </r>
  <r>
    <d v="2026-03-10T00:00:00"/>
    <n v="10"/>
    <x v="8"/>
    <n v="17"/>
    <n v="6980"/>
    <n v="10"/>
    <s v="31hour39min"/>
    <n v="0.31875000000000009"/>
  </r>
  <r>
    <d v="2026-03-11T00:00:00"/>
    <n v="19"/>
    <x v="7"/>
    <n v="54"/>
    <n v="18068"/>
    <n v="19"/>
    <s v="85hour32min"/>
    <n v="0.56388888888888911"/>
  </r>
  <r>
    <d v="2026-03-12T00:00:00"/>
    <n v="11"/>
    <x v="7"/>
    <n v="23"/>
    <n v="7263"/>
    <n v="11"/>
    <s v="21hour40min"/>
    <n v="0.90277777777777779"/>
  </r>
  <r>
    <d v="2026-03-13T00:00:00"/>
    <n v="14"/>
    <x v="8"/>
    <n v="25"/>
    <n v="9251"/>
    <n v="14"/>
    <s v="22hour22min"/>
    <n v="0.93194444444444446"/>
  </r>
  <r>
    <d v="2026-03-14T00:00:00"/>
    <n v="11"/>
    <x v="6"/>
    <n v="21"/>
    <n v="8065"/>
    <n v="11"/>
    <s v="32hour15min"/>
    <n v="0.34375"/>
  </r>
  <r>
    <d v="2026-03-15T00:00:00"/>
    <n v="13"/>
    <x v="8"/>
    <n v="39"/>
    <n v="13013"/>
    <n v="13"/>
    <s v="80hour4min"/>
    <n v="0.33611111111111125"/>
  </r>
  <r>
    <d v="2026-03-16T00:00:00"/>
    <n v="8"/>
    <x v="6"/>
    <n v="24"/>
    <n v="8131"/>
    <n v="8"/>
    <s v="38hour51min"/>
    <n v="0.61874999999999991"/>
  </r>
  <r>
    <d v="2026-03-17T00:00:00"/>
    <n v="16"/>
    <x v="8"/>
    <n v="32"/>
    <n v="11878"/>
    <n v="16"/>
    <s v="39hour17min"/>
    <n v="0.63680555555555562"/>
  </r>
  <r>
    <d v="2026-03-18T00:00:00"/>
    <n v="18"/>
    <x v="8"/>
    <n v="51"/>
    <n v="18518"/>
    <n v="18"/>
    <s v="66hour23min"/>
    <n v="0.76597222222222205"/>
  </r>
  <r>
    <d v="2026-03-19T00:00:00"/>
    <n v="13"/>
    <x v="8"/>
    <n v="30"/>
    <n v="11213"/>
    <n v="13"/>
    <s v="64hour59min"/>
    <n v="0.70763888888888893"/>
  </r>
  <r>
    <d v="2026-03-20T00:00:00"/>
    <n v="14"/>
    <x v="5"/>
    <n v="27"/>
    <n v="9344"/>
    <n v="14"/>
    <s v="48hour58min"/>
    <n v="4.0277777777777857E-2"/>
  </r>
  <r>
    <d v="2026-03-21T00:00:00"/>
    <n v="13"/>
    <x v="8"/>
    <n v="37"/>
    <n v="13620"/>
    <n v="13"/>
    <s v="51hour13min"/>
    <n v="0.13402777777777786"/>
  </r>
  <r>
    <d v="2026-03-22T00:00:00"/>
    <n v="12"/>
    <x v="8"/>
    <n v="31"/>
    <n v="10759"/>
    <n v="12"/>
    <s v="39hour57min"/>
    <n v="0.6645833333333333"/>
  </r>
  <r>
    <d v="2026-03-23T00:00:00"/>
    <n v="17"/>
    <x v="7"/>
    <n v="37"/>
    <n v="12987"/>
    <n v="17"/>
    <s v="39hour52min"/>
    <n v="0.6611111111111112"/>
  </r>
  <r>
    <d v="2026-03-24T00:00:00"/>
    <n v="8"/>
    <x v="6"/>
    <n v="20"/>
    <n v="5998"/>
    <n v="8"/>
    <s v="25hour41min"/>
    <n v="7.0138888888888973E-2"/>
  </r>
  <r>
    <d v="2026-03-25T00:00:00"/>
    <n v="22"/>
    <x v="9"/>
    <n v="44"/>
    <n v="14978"/>
    <n v="22"/>
    <s v="65hour52min"/>
    <n v="0.74444444444444446"/>
  </r>
  <r>
    <d v="2026-03-26T00:00:00"/>
    <n v="16"/>
    <x v="8"/>
    <n v="37"/>
    <n v="14956"/>
    <n v="16"/>
    <s v="53hour45min"/>
    <n v="0.23958333333333348"/>
  </r>
  <r>
    <d v="2026-03-27T00:00:00"/>
    <n v="4"/>
    <x v="3"/>
    <n v="13"/>
    <n v="4201"/>
    <n v="4"/>
    <s v="15hour3min"/>
    <n v="0.62708333333333333"/>
  </r>
  <r>
    <d v="2026-03-28T00:00:00"/>
    <n v="11"/>
    <x v="8"/>
    <n v="27"/>
    <n v="10939"/>
    <n v="11"/>
    <s v="56hour26min"/>
    <n v="0.35138888888888875"/>
  </r>
  <r>
    <d v="2026-03-29T00:00:00"/>
    <n v="12"/>
    <x v="6"/>
    <n v="27"/>
    <n v="10447"/>
    <n v="12"/>
    <s v="14hour12min"/>
    <n v="0.59166666666666667"/>
  </r>
  <r>
    <d v="2026-03-30T00:00:00"/>
    <n v="14"/>
    <x v="7"/>
    <n v="32"/>
    <n v="10455"/>
    <n v="14"/>
    <s v="113hour0min"/>
    <n v="0.70833333333333304"/>
  </r>
  <r>
    <d v="2026-03-31T00:00:00"/>
    <n v="10"/>
    <x v="6"/>
    <n v="21"/>
    <n v="7584"/>
    <n v="10"/>
    <s v="21hour44min"/>
    <n v="0.90555555555555556"/>
  </r>
  <r>
    <d v="2026-04-01T00:00:00"/>
    <n v="17"/>
    <x v="9"/>
    <n v="35"/>
    <n v="11362"/>
    <n v="18"/>
    <s v="54hour2min"/>
    <n v="0.25138888888888911"/>
  </r>
  <r>
    <d v="2026-04-02T00:00:00"/>
    <n v="17"/>
    <x v="5"/>
    <n v="37"/>
    <n v="13620"/>
    <n v="17"/>
    <s v="96hour18min"/>
    <n v="1.2500000000000178E-2"/>
  </r>
  <r>
    <d v="2026-04-03T00:00:00"/>
    <n v="15"/>
    <x v="7"/>
    <n v="27"/>
    <n v="10137"/>
    <n v="15"/>
    <s v="47hour52min"/>
    <n v="0.99444444444444446"/>
  </r>
  <r>
    <d v="2026-04-04T00:00:00"/>
    <n v="15"/>
    <x v="5"/>
    <n v="40"/>
    <n v="14096"/>
    <n v="15"/>
    <s v="60hour26min"/>
    <n v="0.51805555555555571"/>
  </r>
  <r>
    <d v="2026-04-05T00:00:00"/>
    <n v="19"/>
    <x v="5"/>
    <n v="49"/>
    <n v="19788"/>
    <n v="19"/>
    <s v="87hour34min"/>
    <n v="0.64861111111111125"/>
  </r>
  <r>
    <d v="2026-04-06T00:00:00"/>
    <n v="18"/>
    <x v="9"/>
    <n v="43"/>
    <n v="16854"/>
    <n v="18"/>
    <s v="39hour44min"/>
    <n v="0.65555555555555545"/>
  </r>
  <r>
    <d v="2026-04-07T00:00:00"/>
    <n v="11"/>
    <x v="8"/>
    <n v="34"/>
    <n v="11205"/>
    <n v="11"/>
    <s v="63hour55min"/>
    <n v="0.66319444444444464"/>
  </r>
  <r>
    <d v="2026-04-08T00:00:00"/>
    <n v="16"/>
    <x v="9"/>
    <n v="36"/>
    <n v="13015"/>
    <n v="16"/>
    <s v="34hour53min"/>
    <n v="0.45347222222222228"/>
  </r>
  <r>
    <d v="2026-04-09T00:00:00"/>
    <n v="13"/>
    <x v="8"/>
    <n v="32"/>
    <n v="12708"/>
    <n v="13"/>
    <s v="46hour39min"/>
    <n v="0.94375000000000009"/>
  </r>
  <r>
    <d v="2026-04-10T00:00:00"/>
    <n v="9"/>
    <x v="4"/>
    <n v="23"/>
    <n v="8878"/>
    <n v="9"/>
    <s v="30hour33min"/>
    <n v="0.2729166666666667"/>
  </r>
  <r>
    <d v="2026-04-11T00:00:00"/>
    <n v="17"/>
    <x v="7"/>
    <n v="29"/>
    <n v="9337"/>
    <n v="17"/>
    <s v="77hour44min"/>
    <n v="0.23888888888888893"/>
  </r>
  <r>
    <d v="2026-04-12T00:00:00"/>
    <n v="14"/>
    <x v="6"/>
    <n v="26"/>
    <n v="9143"/>
    <n v="14"/>
    <s v="22hour49min"/>
    <n v="0.9506944444444444"/>
  </r>
  <r>
    <d v="2026-04-13T00:00:00"/>
    <n v="11"/>
    <x v="8"/>
    <n v="32"/>
    <n v="11876"/>
    <n v="11"/>
    <s v="35hour2min"/>
    <n v="0.45972222222222214"/>
  </r>
  <r>
    <d v="2026-04-14T00:00:00"/>
    <n v="24"/>
    <x v="7"/>
    <n v="50"/>
    <n v="18632"/>
    <n v="24"/>
    <s v="49hour33min"/>
    <n v="6.4583333333333215E-2"/>
  </r>
  <r>
    <d v="2026-04-15T00:00:00"/>
    <n v="16"/>
    <x v="5"/>
    <n v="43"/>
    <n v="16393"/>
    <n v="16"/>
    <s v="90hour55min"/>
    <n v="0.78819444444444464"/>
  </r>
  <r>
    <d v="2026-04-16T00:00:00"/>
    <n v="19"/>
    <x v="8"/>
    <n v="42"/>
    <n v="16637"/>
    <n v="19"/>
    <s v="37hour48min"/>
    <n v="0.57499999999999996"/>
  </r>
  <r>
    <d v="2026-04-17T00:00:00"/>
    <n v="20"/>
    <x v="7"/>
    <n v="42"/>
    <n v="12648"/>
    <n v="20"/>
    <s v="70hour59min"/>
    <n v="0.95763888888888893"/>
  </r>
  <r>
    <d v="2026-04-18T00:00:00"/>
    <n v="9"/>
    <x v="8"/>
    <n v="30"/>
    <n v="11242"/>
    <n v="9"/>
    <s v="77hour52min"/>
    <n v="0.24444444444444446"/>
  </r>
  <r>
    <d v="2026-04-19T00:00:00"/>
    <n v="14"/>
    <x v="5"/>
    <n v="34"/>
    <n v="11801"/>
    <n v="14"/>
    <s v="58hour5min"/>
    <n v="0.42013888888888884"/>
  </r>
  <r>
    <d v="2026-04-20T00:00:00"/>
    <n v="16"/>
    <x v="7"/>
    <n v="44"/>
    <n v="17180"/>
    <n v="16"/>
    <s v="76hour36min"/>
    <n v="0.19166666666666687"/>
  </r>
  <r>
    <d v="2026-04-21T00:00:00"/>
    <n v="10"/>
    <x v="3"/>
    <n v="21"/>
    <n v="7925"/>
    <n v="10"/>
    <s v="19hour10min"/>
    <n v="0.79861111111111116"/>
  </r>
  <r>
    <d v="2026-04-22T00:00:00"/>
    <n v="10"/>
    <x v="8"/>
    <n v="24"/>
    <n v="7664"/>
    <n v="10"/>
    <s v="16hour32min"/>
    <n v="0.68888888888888888"/>
  </r>
  <r>
    <d v="2026-04-23T00:00:00"/>
    <n v="20"/>
    <x v="5"/>
    <n v="51"/>
    <n v="18596"/>
    <n v="20"/>
    <s v="79hour57min"/>
    <n v="0.33124999999999982"/>
  </r>
  <r>
    <d v="2026-04-24T00:00:00"/>
    <n v="12"/>
    <x v="5"/>
    <n v="30"/>
    <n v="10406"/>
    <n v="13"/>
    <s v="42hour46min"/>
    <n v="0.78194444444444455"/>
  </r>
  <r>
    <d v="2026-04-25T00:00:00"/>
    <n v="14"/>
    <x v="8"/>
    <n v="43"/>
    <n v="15670"/>
    <n v="14"/>
    <s v="78hour49min"/>
    <n v="0.28402777777777777"/>
  </r>
  <r>
    <d v="2026-04-26T00:00:00"/>
    <n v="16"/>
    <x v="5"/>
    <n v="37"/>
    <n v="13029"/>
    <n v="16"/>
    <s v="28hour44min"/>
    <n v="0.19722222222222219"/>
  </r>
  <r>
    <d v="2026-04-27T00:00:00"/>
    <n v="12"/>
    <x v="6"/>
    <n v="22"/>
    <n v="6445"/>
    <n v="12"/>
    <s v="33hour22min"/>
    <n v="0.39027777777777772"/>
  </r>
  <r>
    <d v="2026-04-28T00:00:00"/>
    <n v="16"/>
    <x v="5"/>
    <n v="35"/>
    <n v="12717"/>
    <n v="16"/>
    <s v="37hour58min"/>
    <n v="0.58194444444444438"/>
  </r>
  <r>
    <d v="2026-04-29T00:00:00"/>
    <n v="8"/>
    <x v="6"/>
    <n v="14"/>
    <n v="4188"/>
    <n v="8"/>
    <s v="21hour7min"/>
    <n v="0.87986111111111109"/>
  </r>
  <r>
    <d v="2026-04-30T00:00:00"/>
    <n v="20"/>
    <x v="5"/>
    <n v="50"/>
    <n v="18832"/>
    <n v="20"/>
    <s v="84hour50min"/>
    <n v="0.53472222222222232"/>
  </r>
  <r>
    <d v="2026-05-01T00:00:00"/>
    <n v="14"/>
    <x v="8"/>
    <n v="36"/>
    <n v="13023"/>
    <n v="14"/>
    <s v="62hour37min"/>
    <n v="0.60902777777777795"/>
  </r>
  <r>
    <d v="2026-05-02T00:00:00"/>
    <n v="14"/>
    <x v="8"/>
    <n v="36"/>
    <n v="12630"/>
    <n v="14"/>
    <s v="28hour51min"/>
    <n v="0.20208333333333339"/>
  </r>
  <r>
    <d v="2026-05-03T00:00:00"/>
    <n v="13"/>
    <x v="5"/>
    <n v="31"/>
    <n v="12140"/>
    <n v="13"/>
    <s v="41hour34min"/>
    <n v="0.73194444444444451"/>
  </r>
  <r>
    <d v="2026-05-04T00:00:00"/>
    <n v="14"/>
    <x v="5"/>
    <n v="37"/>
    <n v="13643"/>
    <n v="14"/>
    <s v="48hour59min"/>
    <n v="4.097222222222241E-2"/>
  </r>
  <r>
    <d v="2026-05-05T00:00:00"/>
    <n v="8"/>
    <x v="8"/>
    <n v="17"/>
    <n v="5129"/>
    <n v="8"/>
    <s v="14hour54min"/>
    <n v="0.62083333333333335"/>
  </r>
  <r>
    <d v="2026-05-06T00:00:00"/>
    <n v="27"/>
    <x v="7"/>
    <n v="58"/>
    <n v="22649"/>
    <n v="28"/>
    <s v="83hour30min"/>
    <n v="0.47916666666666652"/>
  </r>
  <r>
    <d v="2026-05-07T00:00:00"/>
    <n v="15"/>
    <x v="5"/>
    <n v="34"/>
    <n v="11819"/>
    <n v="15"/>
    <s v="39hour2min"/>
    <n v="0.62638888888888888"/>
  </r>
  <r>
    <d v="2026-05-08T00:00:00"/>
    <n v="12"/>
    <x v="8"/>
    <n v="33"/>
    <n v="12567"/>
    <n v="12"/>
    <s v="80hour14min"/>
    <n v="0.34305555555555545"/>
  </r>
  <r>
    <d v="2026-05-09T00:00:00"/>
    <n v="18"/>
    <x v="5"/>
    <n v="38"/>
    <n v="13448"/>
    <n v="18"/>
    <s v="30hour32min"/>
    <n v="0.27222222222222214"/>
  </r>
  <r>
    <d v="2026-05-10T00:00:00"/>
    <n v="17"/>
    <x v="7"/>
    <n v="39"/>
    <n v="13181"/>
    <n v="17"/>
    <s v="87hour19min"/>
    <n v="0.63819444444444429"/>
  </r>
  <r>
    <d v="2026-05-11T00:00:00"/>
    <n v="20"/>
    <x v="5"/>
    <n v="47"/>
    <n v="17938"/>
    <n v="20"/>
    <s v="85hour11min"/>
    <n v="0.54930555555555571"/>
  </r>
  <r>
    <d v="2026-05-12T00:00:00"/>
    <n v="13"/>
    <x v="4"/>
    <n v="36"/>
    <n v="12129"/>
    <n v="13"/>
    <s v="34hour6min"/>
    <n v="0.42083333333333339"/>
  </r>
  <r>
    <d v="2026-05-13T00:00:00"/>
    <n v="17"/>
    <x v="5"/>
    <n v="52"/>
    <n v="18761"/>
    <n v="17"/>
    <s v="59hour1min"/>
    <n v="0.45902777777777759"/>
  </r>
  <r>
    <d v="2026-05-14T00:00:00"/>
    <n v="9"/>
    <x v="6"/>
    <n v="21"/>
    <n v="7383"/>
    <n v="9"/>
    <s v="33hour44min"/>
    <n v="0.40555555555555545"/>
  </r>
  <r>
    <d v="2026-05-15T00:00:00"/>
    <n v="17"/>
    <x v="5"/>
    <n v="38"/>
    <n v="15232"/>
    <n v="17"/>
    <s v="43hour29min"/>
    <n v="0.81180555555555545"/>
  </r>
  <r>
    <d v="2026-05-16T00:00:00"/>
    <n v="15"/>
    <x v="7"/>
    <n v="38"/>
    <n v="13205"/>
    <n v="15"/>
    <s v="26hour11min"/>
    <n v="9.0972222222222232E-2"/>
  </r>
  <r>
    <d v="2026-05-17T00:00:00"/>
    <n v="13"/>
    <x v="6"/>
    <n v="30"/>
    <n v="10435"/>
    <n v="13"/>
    <s v="33hour48min"/>
    <n v="0.40833333333333344"/>
  </r>
  <r>
    <d v="2026-05-18T00:00:00"/>
    <n v="14"/>
    <x v="5"/>
    <n v="36"/>
    <n v="15308"/>
    <n v="14"/>
    <s v="48hour24min"/>
    <n v="1.6666666666666607E-2"/>
  </r>
  <r>
    <d v="2026-05-19T00:00:00"/>
    <n v="18"/>
    <x v="5"/>
    <n v="39"/>
    <n v="13875"/>
    <n v="18"/>
    <s v="71hour26min"/>
    <n v="0.97638888888888875"/>
  </r>
  <r>
    <d v="2026-05-20T00:00:00"/>
    <n v="16"/>
    <x v="5"/>
    <n v="30"/>
    <n v="10541"/>
    <n v="16"/>
    <s v="59hour22min"/>
    <n v="0.47361111111111098"/>
  </r>
  <r>
    <d v="2026-05-21T00:00:00"/>
    <n v="12"/>
    <x v="5"/>
    <n v="32"/>
    <n v="11869"/>
    <n v="12"/>
    <s v="43hour16min"/>
    <n v="0.80277777777777781"/>
  </r>
  <r>
    <d v="2026-05-22T00:00:00"/>
    <n v="19"/>
    <x v="7"/>
    <n v="49"/>
    <n v="17353"/>
    <n v="19"/>
    <s v="105hour30min"/>
    <n v="0.39583333333333304"/>
  </r>
  <r>
    <d v="2026-05-23T00:00:00"/>
    <n v="11"/>
    <x v="6"/>
    <n v="24"/>
    <n v="6484"/>
    <n v="11"/>
    <s v="36hour8min"/>
    <n v="0.50555555555555554"/>
  </r>
  <r>
    <d v="2026-05-24T00:00:00"/>
    <n v="20"/>
    <x v="5"/>
    <n v="42"/>
    <n v="14567"/>
    <n v="20"/>
    <s v="82hour42min"/>
    <n v="0.4458333333333333"/>
  </r>
  <r>
    <d v="2026-05-25T00:00:00"/>
    <n v="24"/>
    <x v="9"/>
    <n v="56"/>
    <n v="23479"/>
    <n v="25"/>
    <s v="51hour58min"/>
    <n v="0.16527777777777786"/>
  </r>
  <r>
    <d v="2026-05-26T00:00:00"/>
    <n v="20"/>
    <x v="6"/>
    <n v="49"/>
    <n v="17552"/>
    <n v="20"/>
    <s v="66hour41min"/>
    <n v="0.77847222222222223"/>
  </r>
  <r>
    <d v="2026-05-27T00:00:00"/>
    <n v="22"/>
    <x v="5"/>
    <n v="55"/>
    <n v="20816"/>
    <n v="22"/>
    <s v="47hour49min"/>
    <n v="0.99236111111111103"/>
  </r>
  <r>
    <d v="2026-05-28T00:00:00"/>
    <n v="19"/>
    <x v="8"/>
    <n v="34"/>
    <n v="11994"/>
    <n v="19"/>
    <s v="41hour50min"/>
    <n v="0.74305555555555558"/>
  </r>
  <r>
    <d v="2026-05-29T00:00:00"/>
    <n v="20"/>
    <x v="7"/>
    <n v="45"/>
    <n v="16081"/>
    <n v="20"/>
    <s v="116hour51min"/>
    <n v="0.86875000000000036"/>
  </r>
  <r>
    <d v="2026-05-30T00:00:00"/>
    <n v="18"/>
    <x v="7"/>
    <n v="46"/>
    <n v="17383"/>
    <n v="18"/>
    <s v="75hour45min"/>
    <n v="0.15625"/>
  </r>
  <r>
    <d v="2026-05-31T00:00:00"/>
    <n v="15"/>
    <x v="7"/>
    <n v="39"/>
    <n v="13363"/>
    <n v="15"/>
    <s v="60hour15min"/>
    <n v="0.51041666666666652"/>
  </r>
  <r>
    <d v="2026-06-01T00:00:00"/>
    <n v="20"/>
    <x v="5"/>
    <n v="46"/>
    <n v="15983"/>
    <n v="20"/>
    <s v="77hour50min"/>
    <n v="0.24305555555555536"/>
  </r>
  <r>
    <d v="2026-06-02T00:00:00"/>
    <n v="17"/>
    <x v="5"/>
    <n v="44"/>
    <n v="12421"/>
    <n v="17"/>
    <s v="60hour20min"/>
    <n v="0.51388888888888884"/>
  </r>
  <r>
    <d v="2026-06-03T00:00:00"/>
    <n v="16"/>
    <x v="7"/>
    <n v="38"/>
    <n v="11765"/>
    <n v="16"/>
    <s v="58hour37min"/>
    <n v="0.44236111111111098"/>
  </r>
  <r>
    <d v="2026-06-04T00:00:00"/>
    <n v="17"/>
    <x v="7"/>
    <n v="35"/>
    <n v="11997"/>
    <n v="18"/>
    <s v="67hour58min"/>
    <n v="0.83194444444444438"/>
  </r>
  <r>
    <d v="2026-06-05T00:00:00"/>
    <n v="24"/>
    <x v="7"/>
    <n v="63"/>
    <n v="22325"/>
    <n v="24"/>
    <s v="142hour42min"/>
    <n v="0.94583333333333375"/>
  </r>
  <r>
    <d v="2026-06-06T00:00:00"/>
    <n v="12"/>
    <x v="4"/>
    <n v="22"/>
    <n v="7535"/>
    <n v="12"/>
    <s v="30hour12min"/>
    <n v="0.2583333333333333"/>
  </r>
  <r>
    <d v="2026-06-07T00:00:00"/>
    <n v="24"/>
    <x v="9"/>
    <n v="53"/>
    <n v="21450"/>
    <n v="25"/>
    <s v="65hour31min"/>
    <n v="0.72986111111111107"/>
  </r>
  <r>
    <d v="2026-06-08T00:00:00"/>
    <n v="16"/>
    <x v="7"/>
    <n v="39"/>
    <n v="12102"/>
    <n v="16"/>
    <s v="56hour45min"/>
    <n v="0.36458333333333348"/>
  </r>
  <r>
    <d v="2026-06-09T00:00:00"/>
    <n v="25"/>
    <x v="9"/>
    <n v="60"/>
    <n v="20213"/>
    <n v="25"/>
    <s v="55hour36min"/>
    <n v="0.31666666666666687"/>
  </r>
  <r>
    <d v="2026-06-10T00:00:00"/>
    <n v="20"/>
    <x v="7"/>
    <n v="48"/>
    <n v="16241"/>
    <n v="20"/>
    <s v="54hour26min"/>
    <n v="0.26805555555555571"/>
  </r>
  <r>
    <d v="2026-06-11T00:00:00"/>
    <n v="13"/>
    <x v="7"/>
    <n v="39"/>
    <n v="15802"/>
    <n v="14"/>
    <s v="63hour19min"/>
    <n v="0.63819444444444429"/>
  </r>
  <r>
    <d v="2026-06-12T00:00:00"/>
    <n v="20"/>
    <x v="7"/>
    <n v="39"/>
    <n v="13649"/>
    <n v="20"/>
    <s v="35hour39min"/>
    <n v="0.48541666666666661"/>
  </r>
  <r>
    <d v="2026-06-13T00:00:00"/>
    <n v="18"/>
    <x v="5"/>
    <n v="44"/>
    <n v="17038"/>
    <n v="18"/>
    <s v="71hour19min"/>
    <n v="0.97152777777777777"/>
  </r>
  <r>
    <d v="2026-06-14T00:00:00"/>
    <n v="27"/>
    <x v="5"/>
    <n v="60"/>
    <n v="20457"/>
    <n v="28"/>
    <s v="84hour20min"/>
    <n v="0.51388888888888884"/>
  </r>
  <r>
    <d v="2026-06-15T00:00:00"/>
    <n v="22"/>
    <x v="7"/>
    <n v="46"/>
    <n v="17551"/>
    <n v="23"/>
    <s v="87hour6min"/>
    <n v="0.62916666666666687"/>
  </r>
  <r>
    <d v="2026-06-16T00:00:00"/>
    <n v="32"/>
    <x v="7"/>
    <n v="85"/>
    <n v="31325"/>
    <n v="32"/>
    <s v="121hour52min"/>
    <n v="7.7777777777777501E-2"/>
  </r>
  <r>
    <d v="2026-06-17T00:00:00"/>
    <n v="21"/>
    <x v="7"/>
    <n v="50"/>
    <n v="17677"/>
    <n v="22"/>
    <s v="73hour59min"/>
    <n v="8.2638888888888928E-2"/>
  </r>
  <r>
    <d v="2026-06-18T00:00:00"/>
    <n v="16"/>
    <x v="5"/>
    <n v="40"/>
    <n v="14999"/>
    <n v="18"/>
    <s v="41hour56min"/>
    <n v="0.74722222222222223"/>
  </r>
  <r>
    <d v="2026-06-19T00:00:00"/>
    <n v="22"/>
    <x v="9"/>
    <n v="43"/>
    <n v="16136"/>
    <n v="22"/>
    <s v="75hour38min"/>
    <n v="0.15138888888888902"/>
  </r>
  <r>
    <d v="2026-06-20T00:00:00"/>
    <n v="22"/>
    <x v="5"/>
    <n v="55"/>
    <n v="17411"/>
    <n v="23"/>
    <s v="61hour53min"/>
    <n v="0.57847222222222205"/>
  </r>
  <r>
    <d v="2026-06-21T00:00:00"/>
    <n v="22"/>
    <x v="7"/>
    <n v="42"/>
    <n v="15678"/>
    <n v="22"/>
    <s v="80hour3min"/>
    <n v="0.3354166666666667"/>
  </r>
  <r>
    <d v="2026-06-22T00:00:00"/>
    <n v="22"/>
    <x v="7"/>
    <n v="56"/>
    <n v="24332"/>
    <n v="23"/>
    <s v="80hour48min"/>
    <n v="0.3666666666666667"/>
  </r>
  <r>
    <d v="2026-06-23T00:00:00"/>
    <n v="22"/>
    <x v="9"/>
    <n v="54"/>
    <n v="20732"/>
    <n v="22"/>
    <s v="123hour55min"/>
    <n v="0.16319444444444464"/>
  </r>
  <r>
    <d v="2026-06-24T00:00:00"/>
    <n v="25"/>
    <x v="7"/>
    <n v="63"/>
    <n v="23266"/>
    <n v="26"/>
    <s v="52hour24min"/>
    <n v="0.18333333333333313"/>
  </r>
  <r>
    <d v="2026-06-25T00:00:00"/>
    <n v="24"/>
    <x v="7"/>
    <n v="53"/>
    <n v="19953"/>
    <n v="25"/>
    <s v="83hour6min"/>
    <n v="0.46249999999999991"/>
  </r>
  <r>
    <d v="2026-06-26T00:00:00"/>
    <n v="20"/>
    <x v="9"/>
    <n v="50"/>
    <n v="18087"/>
    <n v="20"/>
    <s v="77hour14min"/>
    <n v="0.21805555555555545"/>
  </r>
  <r>
    <d v="2026-06-27T00:00:00"/>
    <n v="34"/>
    <x v="9"/>
    <n v="92"/>
    <n v="31823"/>
    <n v="35"/>
    <s v="72hour49min"/>
    <n v="3.4027777777777768E-2"/>
  </r>
  <r>
    <d v="2026-06-28T00:00:00"/>
    <n v="30"/>
    <x v="5"/>
    <n v="70"/>
    <n v="23673"/>
    <n v="31"/>
    <s v="83hour32min"/>
    <n v="0.48055555555555562"/>
  </r>
  <r>
    <d v="2026-06-29T00:00:00"/>
    <n v="24"/>
    <x v="9"/>
    <n v="58"/>
    <n v="19820"/>
    <n v="24"/>
    <s v="84hour59min"/>
    <n v="0.54097222222222241"/>
  </r>
  <r>
    <d v="2026-06-30T00:00:00"/>
    <n v="18"/>
    <x v="8"/>
    <n v="32"/>
    <n v="12026"/>
    <n v="18"/>
    <s v="53hour30min"/>
    <n v="0.22916666666666652"/>
  </r>
  <r>
    <d v="2026-07-01T00:00:00"/>
    <n v="27"/>
    <x v="9"/>
    <n v="62"/>
    <n v="18414"/>
    <n v="30"/>
    <s v="71hour44min"/>
    <n v="0.98888888888888893"/>
  </r>
  <r>
    <d v="2026-07-02T00:00:00"/>
    <n v="32"/>
    <x v="9"/>
    <n v="73"/>
    <n v="27047"/>
    <n v="33"/>
    <s v="104hour18min"/>
    <n v="0.34583333333333321"/>
  </r>
  <r>
    <d v="2026-07-03T00:00:00"/>
    <n v="42"/>
    <x v="7"/>
    <n v="110"/>
    <n v="40399"/>
    <n v="49"/>
    <s v="141hour19min"/>
    <n v="0.88819444444444429"/>
  </r>
  <r>
    <d v="2026-07-04T00:00:00"/>
    <n v="35"/>
    <x v="9"/>
    <n v="97"/>
    <n v="34135"/>
    <n v="42"/>
    <s v="100hour26min"/>
    <n v="0.184722222222221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73C283-6644-4BE6-AD35-F4C6DADD5D44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8" firstHeaderRow="1" firstDataRow="1" firstDataCol="1"/>
  <pivotFields count="6">
    <pivotField numFmtId="14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dataField="1" showAll="0"/>
    <pivotField showAll="0"/>
    <pivotField showAll="0" defaultSubtotal="0"/>
    <pivotField showAll="0" defaultSubtota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USER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32E03D-BC20-4702-9722-BDD8E1D01445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6:F11" firstHeaderRow="1" firstDataRow="1" firstDataCol="1"/>
  <pivotFields count="6">
    <pivotField numFmtId="14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dataField="1" showAll="0"/>
    <pivotField showAll="0"/>
    <pivotField showAll="0" defaultSubtotal="0"/>
    <pivotField showAll="0" defaultSubtota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ESSION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610E2-3D2A-4F04-ABD2-2EC633727FEF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5:G10" firstHeaderRow="1" firstDataRow="1" firstDataCol="1"/>
  <pivotFields count="6">
    <pivotField numFmtId="14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dataField="1" showAll="0"/>
    <pivotField showAll="0"/>
    <pivotField showAll="0" defaultSubtotal="0"/>
    <pivotField showAll="0" defaultSubtota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TOKEN_USE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ABF52-9DC1-4F4D-8588-34EFE1334786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MONTHS">
  <location ref="A2:B15" firstHeaderRow="1" firstDataRow="1" firstDataCol="1"/>
  <pivotFields count="6">
    <pivotField numFmtId="14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dataField="1" showAll="0"/>
    <pivotField showAll="0"/>
    <pivotField name="MONTHS"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name="QUATERS"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name="YEAR"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</pivotFields>
  <rowFields count="3">
    <field x="3"/>
    <field x="4"/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 TOTAL USERS" fld="1" baseField="0" baseItem="0"/>
  </dataFields>
  <formats count="12">
    <format dxfId="310">
      <pivotArea type="all" dataOnly="0" outline="0" fieldPosition="0"/>
    </format>
    <format dxfId="311">
      <pivotArea outline="0" collapsedLevelsAreSubtotals="1" fieldPosition="0"/>
    </format>
    <format dxfId="312">
      <pivotArea field="3" type="button" dataOnly="0" labelOnly="1" outline="0" axis="axisRow" fieldPosition="0"/>
    </format>
    <format dxfId="313">
      <pivotArea dataOnly="0" labelOnly="1" fieldPosition="0">
        <references count="1">
          <reference field="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14">
      <pivotArea dataOnly="0" labelOnly="1" grandRow="1" outline="0" fieldPosition="0"/>
    </format>
    <format dxfId="315">
      <pivotArea dataOnly="0" labelOnly="1" outline="0" axis="axisValues" fieldPosition="0"/>
    </format>
    <format dxfId="316">
      <pivotArea type="all" dataOnly="0" outline="0" fieldPosition="0"/>
    </format>
    <format dxfId="317">
      <pivotArea outline="0" collapsedLevelsAreSubtotals="1" fieldPosition="0"/>
    </format>
    <format dxfId="318">
      <pivotArea field="3" type="button" dataOnly="0" labelOnly="1" outline="0" axis="axisRow" fieldPosition="0"/>
    </format>
    <format dxfId="319">
      <pivotArea dataOnly="0" labelOnly="1" fieldPosition="0">
        <references count="1">
          <reference field="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20">
      <pivotArea dataOnly="0" labelOnly="1" grandRow="1" outline="0" fieldPosition="0"/>
    </format>
    <format dxfId="321">
      <pivotArea dataOnly="0" labelOnly="1" outline="0" axis="axisValues" fieldPosition="0"/>
    </format>
  </formats>
  <chartFormats count="9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638390-B891-4C94-9721-C6DFF786B83A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20:B33" firstHeaderRow="1" firstDataRow="1" firstDataCol="1"/>
  <pivotFields count="5">
    <pivotField numFmtId="14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3">
    <field x="2"/>
    <field x="4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_DURATION" fld="1" baseField="0" baseItem="0" numFmtId="165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96FFC6-D0AC-4FD7-80EC-4CFD4FDBF6C7}" name="PivotTable7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0:I21" firstHeaderRow="0" firstDataRow="1" firstDataCol="0"/>
  <pivotFields count="8">
    <pivotField numFmtId="14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TOTAL_USERS" fld="1" subtotal="average" baseField="0" baseItem="0"/>
    <dataField name="Average of TOTAL_TOOL_USED" fld="2" subtotal="average" baseField="0" baseItem="0"/>
    <dataField name="Average of TOTAL_PROMPTS" fld="3" subtotal="average" baseField="0" baseItem="0"/>
    <dataField name="Average of TOTAL_TOKEN_USED" fld="4" subtotal="average" baseField="0" baseItem="0"/>
    <dataField name="Average of TOTAL_SESSIONS" fld="5" subtotal="average" baseField="0" baseItem="0"/>
    <dataField name="Average DURATION" fld="7" subtotal="average" baseField="0" baseItem="0" numFmtId="166"/>
  </dataFields>
  <formats count="2">
    <format dxfId="359">
      <pivotArea outline="0" collapsedLevelsAreSubtotals="1" fieldPosition="0"/>
    </format>
    <format dxfId="358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A94F33-92B3-4D50-8A0C-0CDA088EE750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D2:E15" firstHeaderRow="1" firstDataRow="1" firstDataCol="1"/>
  <pivotFields count="6">
    <pivotField numFmtId="14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dataField="1" showAll="0">
      <items count="42">
        <item x="0"/>
        <item x="1"/>
        <item x="2"/>
        <item x="4"/>
        <item x="3"/>
        <item x="5"/>
        <item x="6"/>
        <item x="7"/>
        <item x="10"/>
        <item x="8"/>
        <item x="9"/>
        <item x="11"/>
        <item x="12"/>
        <item x="15"/>
        <item x="13"/>
        <item x="14"/>
        <item x="16"/>
        <item x="18"/>
        <item x="19"/>
        <item x="20"/>
        <item x="17"/>
        <item x="23"/>
        <item x="22"/>
        <item x="21"/>
        <item x="24"/>
        <item x="40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name="MONTHS"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name="QUATERS"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name="YEAR"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3">
    <field x="3"/>
    <field x="4"/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TOTAL SESSIONS" fld="1" baseField="0" baseItem="0"/>
  </dataFields>
  <formats count="12">
    <format dxfId="371">
      <pivotArea type="all" dataOnly="0" outline="0" fieldPosition="0"/>
    </format>
    <format dxfId="370">
      <pivotArea outline="0" collapsedLevelsAreSubtotals="1" fieldPosition="0"/>
    </format>
    <format dxfId="369">
      <pivotArea field="3" type="button" dataOnly="0" labelOnly="1" outline="0" axis="axisRow" fieldPosition="0"/>
    </format>
    <format dxfId="368">
      <pivotArea dataOnly="0" labelOnly="1" fieldPosition="0">
        <references count="1">
          <reference field="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67">
      <pivotArea dataOnly="0" labelOnly="1" grandRow="1" outline="0" fieldPosition="0"/>
    </format>
    <format dxfId="366">
      <pivotArea dataOnly="0" labelOnly="1" outline="0" axis="axisValues" fieldPosition="0"/>
    </format>
    <format dxfId="365">
      <pivotArea type="all" dataOnly="0" outline="0" fieldPosition="0"/>
    </format>
    <format dxfId="364">
      <pivotArea outline="0" collapsedLevelsAreSubtotals="1" fieldPosition="0"/>
    </format>
    <format dxfId="363">
      <pivotArea field="3" type="button" dataOnly="0" labelOnly="1" outline="0" axis="axisRow" fieldPosition="0"/>
    </format>
    <format dxfId="362">
      <pivotArea dataOnly="0" labelOnly="1" fieldPosition="0">
        <references count="1">
          <reference field="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61">
      <pivotArea dataOnly="0" labelOnly="1" grandRow="1" outline="0" fieldPosition="0"/>
    </format>
    <format dxfId="360">
      <pivotArea dataOnly="0" labelOnly="1" outline="0" axis="axisValues" fieldPosition="0"/>
    </format>
  </formats>
  <chartFormats count="11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9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0B813B-712E-4419-834C-B43B5A41D948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H2:I15" firstHeaderRow="1" firstDataRow="1" firstDataCol="1"/>
  <pivotFields count="6">
    <pivotField numFmtId="14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dataField="1" showAll="0"/>
    <pivotField showAll="0"/>
    <pivotField name="MONTHS"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name="QUATERS"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name="YEARS"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3">
    <field x="3"/>
    <field x="4"/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_TOKEN_USED" fld="1" baseField="0" baseItem="0" numFmtId="164"/>
  </dataFields>
  <formats count="10">
    <format dxfId="381">
      <pivotArea type="all" dataOnly="0" outline="0" fieldPosition="0"/>
    </format>
    <format dxfId="380">
      <pivotArea outline="0" collapsedLevelsAreSubtotals="1" fieldPosition="0"/>
    </format>
    <format dxfId="379">
      <pivotArea field="3" type="button" dataOnly="0" labelOnly="1" outline="0" axis="axisRow" fieldPosition="0"/>
    </format>
    <format dxfId="378">
      <pivotArea dataOnly="0" labelOnly="1" grandRow="1" outline="0" fieldPosition="0"/>
    </format>
    <format dxfId="377">
      <pivotArea dataOnly="0" labelOnly="1" outline="0" axis="axisValues" fieldPosition="0"/>
    </format>
    <format dxfId="376">
      <pivotArea type="all" dataOnly="0" outline="0" fieldPosition="0"/>
    </format>
    <format dxfId="375">
      <pivotArea outline="0" collapsedLevelsAreSubtotals="1" fieldPosition="0"/>
    </format>
    <format dxfId="374">
      <pivotArea field="3" type="button" dataOnly="0" labelOnly="1" outline="0" axis="axisRow" fieldPosition="0"/>
    </format>
    <format dxfId="373">
      <pivotArea dataOnly="0" labelOnly="1" grandRow="1" outline="0" fieldPosition="0"/>
    </format>
    <format dxfId="372">
      <pivotArea dataOnly="0" labelOnly="1" outline="0" axis="axisValues" fieldPosition="0"/>
    </format>
  </formats>
  <chartFormats count="6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7ACB41D-1A88-4680-B8BF-530B3FB1D340}" autoFormatId="16" applyNumberFormats="0" applyBorderFormats="0" applyFontFormats="0" applyPatternFormats="0" applyAlignmentFormats="0" applyWidthHeightFormats="0">
  <queryTableRefresh nextId="4">
    <queryTableFields count="3">
      <queryTableField id="1" name="MON_YEAR" tableColumnId="1"/>
      <queryTableField id="2" name="TOTAL_USERS" tableColumnId="2"/>
      <queryTableField id="3" name="OVERALL_AVG_USER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4CB9F7D-F6E5-4AF5-AC3C-173A8502CB57}" autoFormatId="16" applyNumberFormats="0" applyBorderFormats="0" applyFontFormats="0" applyPatternFormats="0" applyAlignmentFormats="0" applyWidthHeightFormats="0">
  <queryTableRefresh nextId="4">
    <queryTableFields count="3">
      <queryTableField id="1" name="MON_YEAR" tableColumnId="1"/>
      <queryTableField id="2" name="TOTAL_SESSION" tableColumnId="2"/>
      <queryTableField id="3" name="OVERALL_AVG_SESSION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D14FBFD-6F52-4788-B3DC-522EAD506763}" autoFormatId="16" applyNumberFormats="0" applyBorderFormats="0" applyFontFormats="0" applyPatternFormats="0" applyAlignmentFormats="0" applyWidthHeightFormats="0">
  <queryTableRefresh nextId="4">
    <queryTableFields count="3">
      <queryTableField id="1" name="MON_YEAR" tableColumnId="1"/>
      <queryTableField id="2" name="TOTAL_TOKEN_USED" tableColumnId="2"/>
      <queryTableField id="3" name="OVERALL_AVG_TOKEN_USED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CF174AB-3ADD-446C-91A3-D0379256825F}" autoFormatId="16" applyNumberFormats="0" applyBorderFormats="0" applyFontFormats="0" applyPatternFormats="0" applyAlignmentFormats="0" applyWidthHeightFormats="0">
  <queryTableRefresh nextId="5">
    <queryTableFields count="4">
      <queryTableField id="1" name="MON_YEAR" tableColumnId="1"/>
      <queryTableField id="2" name="TOTAL_DURATION" tableColumnId="2"/>
      <queryTableField id="3" name="AVG_DURATION" tableColumnId="3"/>
      <queryTableField id="4" name="OVERALL_AVG_DURATION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3679484-C539-46CD-B282-6793CEFA1677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USAGE_DATE" tableColumnId="1"/>
      <queryTableField id="2" name="TOTAL_USERS" tableColumnId="2"/>
      <queryTableField id="3" name="TOTAL_TOOL_USED" tableColumnId="3"/>
      <queryTableField id="4" name="TOTAL_PROMPTS" tableColumnId="4"/>
      <queryTableField id="5" name="TOTAL_TOKEN_USED" tableColumnId="5"/>
      <queryTableField id="6" name="TOTAL_SESSIONS" tableColumnId="6"/>
      <queryTableField id="7" name="TOTAL_DURATION" tableColumnId="7"/>
      <queryTableField id="8" dataBound="0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A258935-B54B-4CA5-8399-7EF0E805A659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PEAK_RANK" tableColumnId="1"/>
      <queryTableField id="2" name="MONTH" tableColumnId="2"/>
      <queryTableField id="3" name="TOTAL_USERS" tableColumnId="3"/>
      <queryTableField id="4" name="TOTAL_TOOLS_USED" tableColumnId="4"/>
      <queryTableField id="5" name="TOTAL_PROMPTS" tableColumnId="5"/>
      <queryTableField id="6" name="TOTAL_TOKEN_USED" tableColumnId="6"/>
      <queryTableField id="7" name="TOTAL_SESSIONS" tableColumnId="7"/>
      <queryTableField id="8" name="TOTAL_DURATION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168DC7-E54D-47E8-85A8-8A82AF519F21}" name="_1__MONTHLY_USER_SIGNUPS" displayName="_1__MONTHLY_USER_SIGNUPS" ref="A1:C44" tableType="queryTable" totalsRowShown="0">
  <autoFilter ref="A1:C44" xr:uid="{A8168DC7-E54D-47E8-85A8-8A82AF519F21}"/>
  <tableColumns count="3">
    <tableColumn id="1" xr3:uid="{35E0775C-54F9-4AF0-BC10-01EBBE0BACF8}" uniqueName="1" name="MON_YEAR" queryTableFieldId="1" dataDxfId="394"/>
    <tableColumn id="2" xr3:uid="{DB543AA0-C44C-4013-BB13-90FD93F4AFD4}" uniqueName="2" name="TOTAL_USERS" queryTableFieldId="2"/>
    <tableColumn id="3" xr3:uid="{626FEC30-A215-41B7-A96A-3C92268D0E17}" uniqueName="3" name="OVERALL_AVG_USERS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0AD1F6-93D5-4227-BE82-BB092BECFFFD}" name="_2__MONTHLY_SESSIONS" displayName="_2__MONTHLY_SESSIONS" ref="A1:C44" tableType="queryTable" totalsRowShown="0">
  <autoFilter ref="A1:C44" xr:uid="{750AD1F6-93D5-4227-BE82-BB092BECFFFD}"/>
  <tableColumns count="3">
    <tableColumn id="1" xr3:uid="{B8165924-7688-48AA-B4CB-27E990E4193D}" uniqueName="1" name="MON_YEAR" queryTableFieldId="1" dataDxfId="393"/>
    <tableColumn id="2" xr3:uid="{CE2DADAB-2236-4BCB-8A2B-FD5D24A581DC}" uniqueName="2" name="TOTAL_SESSION" queryTableFieldId="2"/>
    <tableColumn id="3" xr3:uid="{784E662A-77FD-49C1-A086-9ED8F6A0D9BA}" uniqueName="3" name="OVERALL_AVG_SESSIONS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7939C8-37E1-4614-A03E-F49784C023CD}" name="_3__MONTHLY_TOKEN_USED" displayName="_3__MONTHLY_TOKEN_USED" ref="A1:C44" tableType="queryTable" totalsRowShown="0">
  <autoFilter ref="A1:C44" xr:uid="{567939C8-37E1-4614-A03E-F49784C023CD}"/>
  <tableColumns count="3">
    <tableColumn id="1" xr3:uid="{F81B1659-C8E0-4A7C-B3A6-53B8034BDA39}" uniqueName="1" name="MON_YEAR" queryTableFieldId="1" dataDxfId="392"/>
    <tableColumn id="2" xr3:uid="{6F986466-BF74-40E6-840D-00A02D4289A4}" uniqueName="2" name="TOTAL_TOKEN_USED" queryTableFieldId="2"/>
    <tableColumn id="3" xr3:uid="{5D96CD94-EC5E-465F-A943-A75535C6EAED}" uniqueName="3" name="OVERALL_AVG_TOKEN_USED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3FBEE3-B0AD-4A76-A8AC-6B8F2C8ADA16}" name="_4__MONTHLY_AVG_SESSION_DURATION" displayName="_4__MONTHLY_AVG_SESSION_DURATION" ref="A1:D44" tableType="queryTable" totalsRowShown="0">
  <autoFilter ref="A1:D44" xr:uid="{613FBEE3-B0AD-4A76-A8AC-6B8F2C8ADA16}"/>
  <tableColumns count="4">
    <tableColumn id="1" xr3:uid="{39FD3A15-7495-49F4-908E-966FC4E60991}" uniqueName="1" name="MON_YEAR" queryTableFieldId="1" dataDxfId="391"/>
    <tableColumn id="2" xr3:uid="{068FBFA7-5D53-4EF0-A105-E598580FCDAB}" uniqueName="2" name="TOTAL_DURATION" queryTableFieldId="2" dataDxfId="390"/>
    <tableColumn id="3" xr3:uid="{647C4744-35A2-4F88-80E5-CDF875387374}" uniqueName="3" name="AVG_DURATION" queryTableFieldId="3" dataDxfId="389"/>
    <tableColumn id="4" xr3:uid="{4F1E260D-0E24-41EE-9FC4-00C9C82D5984}" uniqueName="4" name="OVERALL_AVG_DURATION" queryTableFieldId="4" dataDxfId="38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2BB18A-9ECF-4918-8586-22D6654613F6}" name="_5__DAILY_USAGE_TREND" displayName="_5__DAILY_USAGE_TREND" ref="A1:H1082" tableType="queryTable" totalsRowShown="0">
  <autoFilter ref="A1:H1082" xr:uid="{B62BB18A-9ECF-4918-8586-22D6654613F6}"/>
  <tableColumns count="8">
    <tableColumn id="1" xr3:uid="{9FD97271-A321-4CAF-B3DA-64FF6A6D5E08}" uniqueName="1" name="USAGE_DATE" queryTableFieldId="1" dataDxfId="387"/>
    <tableColumn id="2" xr3:uid="{51A4BFAE-D454-4783-B615-0D446BA5CB5C}" uniqueName="2" name="TOTAL_USERS" queryTableFieldId="2"/>
    <tableColumn id="3" xr3:uid="{AA506D34-2058-413D-A358-9D20E5DF204F}" uniqueName="3" name="TOTAL_TOOL_USED" queryTableFieldId="3"/>
    <tableColumn id="4" xr3:uid="{95C8FC5D-C7D3-4D7E-96AA-88B086CECE3B}" uniqueName="4" name="TOTAL_PROMPTS" queryTableFieldId="4"/>
    <tableColumn id="5" xr3:uid="{5A0A38BC-163C-42C0-B575-80A7F408B985}" uniqueName="5" name="TOTAL_TOKEN_USED" queryTableFieldId="5"/>
    <tableColumn id="6" xr3:uid="{C1405BF4-22C1-4955-AC0F-AB011010EA80}" uniqueName="6" name="TOTAL_SESSIONS" queryTableFieldId="6"/>
    <tableColumn id="7" xr3:uid="{16DD986F-9A5A-4D39-BDB9-156860C89A4D}" uniqueName="7" name="TOTAL_DURATION" queryTableFieldId="7" dataDxfId="386"/>
    <tableColumn id="8" xr3:uid="{F39EF32B-0706-4E7E-B86A-7B86C202BDF9}" uniqueName="8" name="Column1" queryTableFieldId="8" dataDxfId="385">
      <calculatedColumnFormula>TIMEVALUE(SUBSTITUTE(SUBSTITUTE(_5__DAILY_USAGE_TREND[[#This Row],[TOTAL_DURATION]],"hour",":"),"min",""))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93EAA9-1F42-457D-9799-FA6CE8D9616D}" name="_6__PEAK_USAGE_MONTHS" displayName="_6__PEAK_USAGE_MONTHS" ref="A1:I4" tableType="queryTable" totalsRowShown="0">
  <autoFilter ref="A1:I4" xr:uid="{C293EAA9-1F42-457D-9799-FA6CE8D9616D}"/>
  <tableColumns count="9">
    <tableColumn id="1" xr3:uid="{F8A0A7CA-52D3-4435-AE86-CFA7FE0F8729}" uniqueName="1" name="PEAK_RANK" queryTableFieldId="1"/>
    <tableColumn id="2" xr3:uid="{BFE0A403-050C-4DA8-863F-2A3A50A2790A}" uniqueName="2" name="MONTH" queryTableFieldId="2" dataDxfId="384"/>
    <tableColumn id="3" xr3:uid="{A04AA9C4-28C7-4FB0-84DC-A78B26170D97}" uniqueName="3" name="TOTAL_USERS" queryTableFieldId="3"/>
    <tableColumn id="4" xr3:uid="{C4C1F564-7141-4F96-9633-832D39E2AE41}" uniqueName="4" name="TOTAL_TOOLS_USED" queryTableFieldId="4"/>
    <tableColumn id="5" xr3:uid="{B1162801-8495-48A8-BDFD-324994290FB1}" uniqueName="5" name="TOTAL_PROMPTS" queryTableFieldId="5"/>
    <tableColumn id="6" xr3:uid="{3B7B4961-3912-4A0C-A5A3-4BCD5A911B5B}" uniqueName="6" name="TOTAL_TOKEN_USED" queryTableFieldId="6"/>
    <tableColumn id="7" xr3:uid="{F3E9ED8A-801A-4F8E-A1A0-39A81CB037C2}" uniqueName="7" name="TOTAL_SESSIONS" queryTableFieldId="7"/>
    <tableColumn id="8" xr3:uid="{F7BA5633-43C6-40C5-A732-1F6DAD812C53}" uniqueName="8" name="TOTAL_DURATION" queryTableFieldId="8" dataDxfId="383"/>
    <tableColumn id="9" xr3:uid="{D1CDF726-3515-48B3-B65A-4859581EE29A}" uniqueName="9" name="Column1" queryTableFieldId="9" dataDxfId="382">
      <calculatedColumnFormula>TIMEVALUE(SUBSTITUTE(SUBSTITUTE(_6__PEAK_USAGE_MONTHS[[#This Row],[TOTAL_DURATION]],"hour",":"),"min",""))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B028F-B92F-47BB-96A6-8058586C754D}">
  <dimension ref="A1:G44"/>
  <sheetViews>
    <sheetView workbookViewId="0">
      <selection activeCell="G11" sqref="G11"/>
    </sheetView>
  </sheetViews>
  <sheetFormatPr defaultRowHeight="14.4" x14ac:dyDescent="0.3"/>
  <cols>
    <col min="1" max="1" width="12.33203125" bestFit="1" customWidth="1"/>
    <col min="2" max="2" width="14.6640625" bestFit="1" customWidth="1"/>
    <col min="3" max="3" width="21.5546875" bestFit="1" customWidth="1"/>
    <col min="5" max="6" width="12.44140625" bestFit="1" customWidth="1"/>
    <col min="7" max="7" width="18.6640625" bestFit="1" customWidth="1"/>
    <col min="8" max="8" width="25.5546875" bestFit="1" customWidth="1"/>
  </cols>
  <sheetData>
    <row r="1" spans="1:7" x14ac:dyDescent="0.3">
      <c r="A1" t="s">
        <v>0</v>
      </c>
      <c r="B1" t="s">
        <v>1</v>
      </c>
      <c r="C1" t="s">
        <v>2</v>
      </c>
    </row>
    <row r="2" spans="1:7" x14ac:dyDescent="0.3">
      <c r="A2" s="1">
        <v>44927</v>
      </c>
      <c r="B2">
        <v>2</v>
      </c>
      <c r="C2">
        <v>154</v>
      </c>
    </row>
    <row r="3" spans="1:7" x14ac:dyDescent="0.3">
      <c r="A3" s="1">
        <v>44958</v>
      </c>
      <c r="B3">
        <v>8</v>
      </c>
      <c r="C3">
        <v>154</v>
      </c>
      <c r="F3" s="11" t="s">
        <v>926</v>
      </c>
      <c r="G3" t="s">
        <v>971</v>
      </c>
    </row>
    <row r="4" spans="1:7" x14ac:dyDescent="0.3">
      <c r="A4" s="1">
        <v>44986</v>
      </c>
      <c r="B4">
        <v>10</v>
      </c>
      <c r="C4">
        <v>154</v>
      </c>
      <c r="F4" s="12" t="s">
        <v>967</v>
      </c>
      <c r="G4" s="29">
        <v>311</v>
      </c>
    </row>
    <row r="5" spans="1:7" x14ac:dyDescent="0.3">
      <c r="A5" s="1">
        <v>45017</v>
      </c>
      <c r="B5">
        <v>20</v>
      </c>
      <c r="C5">
        <v>154</v>
      </c>
      <c r="F5" s="12" t="s">
        <v>968</v>
      </c>
      <c r="G5" s="29">
        <v>1175</v>
      </c>
    </row>
    <row r="6" spans="1:7" x14ac:dyDescent="0.3">
      <c r="A6" s="1">
        <v>45047</v>
      </c>
      <c r="B6">
        <v>22</v>
      </c>
      <c r="C6">
        <v>154</v>
      </c>
      <c r="F6" s="12" t="s">
        <v>969</v>
      </c>
      <c r="G6" s="29">
        <v>2516</v>
      </c>
    </row>
    <row r="7" spans="1:7" x14ac:dyDescent="0.3">
      <c r="A7" s="1">
        <v>45078</v>
      </c>
      <c r="B7">
        <v>17</v>
      </c>
      <c r="C7">
        <v>154</v>
      </c>
      <c r="F7" s="12" t="s">
        <v>970</v>
      </c>
      <c r="G7" s="29">
        <v>2613</v>
      </c>
    </row>
    <row r="8" spans="1:7" x14ac:dyDescent="0.3">
      <c r="A8" s="1">
        <v>45108</v>
      </c>
      <c r="B8">
        <v>22</v>
      </c>
      <c r="C8">
        <v>154</v>
      </c>
      <c r="F8" s="12" t="s">
        <v>927</v>
      </c>
      <c r="G8" s="29">
        <v>6615</v>
      </c>
    </row>
    <row r="9" spans="1:7" x14ac:dyDescent="0.3">
      <c r="A9" s="1">
        <v>45139</v>
      </c>
      <c r="B9">
        <v>29</v>
      </c>
      <c r="C9">
        <v>154</v>
      </c>
    </row>
    <row r="10" spans="1:7" x14ac:dyDescent="0.3">
      <c r="A10" s="1">
        <v>45170</v>
      </c>
      <c r="B10">
        <v>36</v>
      </c>
      <c r="C10">
        <v>154</v>
      </c>
    </row>
    <row r="11" spans="1:7" x14ac:dyDescent="0.3">
      <c r="A11" s="1">
        <v>45200</v>
      </c>
      <c r="B11">
        <v>41</v>
      </c>
      <c r="C11">
        <v>154</v>
      </c>
    </row>
    <row r="12" spans="1:7" x14ac:dyDescent="0.3">
      <c r="A12" s="1">
        <v>45231</v>
      </c>
      <c r="B12">
        <v>48</v>
      </c>
      <c r="C12">
        <v>154</v>
      </c>
    </row>
    <row r="13" spans="1:7" x14ac:dyDescent="0.3">
      <c r="A13" s="1">
        <v>45261</v>
      </c>
      <c r="B13">
        <v>56</v>
      </c>
      <c r="C13">
        <v>154</v>
      </c>
    </row>
    <row r="14" spans="1:7" x14ac:dyDescent="0.3">
      <c r="A14" s="1">
        <v>45292</v>
      </c>
      <c r="B14">
        <v>48</v>
      </c>
      <c r="C14">
        <v>154</v>
      </c>
    </row>
    <row r="15" spans="1:7" x14ac:dyDescent="0.3">
      <c r="A15" s="1">
        <v>45323</v>
      </c>
      <c r="B15">
        <v>56</v>
      </c>
      <c r="C15">
        <v>154</v>
      </c>
    </row>
    <row r="16" spans="1:7" x14ac:dyDescent="0.3">
      <c r="A16" s="1">
        <v>45352</v>
      </c>
      <c r="B16">
        <v>73</v>
      </c>
      <c r="C16">
        <v>154</v>
      </c>
    </row>
    <row r="17" spans="1:3" x14ac:dyDescent="0.3">
      <c r="A17" s="1">
        <v>45383</v>
      </c>
      <c r="B17">
        <v>81</v>
      </c>
      <c r="C17">
        <v>154</v>
      </c>
    </row>
    <row r="18" spans="1:3" x14ac:dyDescent="0.3">
      <c r="A18" s="1">
        <v>45413</v>
      </c>
      <c r="B18">
        <v>92</v>
      </c>
      <c r="C18">
        <v>154</v>
      </c>
    </row>
    <row r="19" spans="1:3" x14ac:dyDescent="0.3">
      <c r="A19" s="1">
        <v>45444</v>
      </c>
      <c r="B19">
        <v>83</v>
      </c>
      <c r="C19">
        <v>154</v>
      </c>
    </row>
    <row r="20" spans="1:3" x14ac:dyDescent="0.3">
      <c r="A20" s="1">
        <v>45474</v>
      </c>
      <c r="B20">
        <v>98</v>
      </c>
      <c r="C20">
        <v>154</v>
      </c>
    </row>
    <row r="21" spans="1:3" x14ac:dyDescent="0.3">
      <c r="A21" s="1">
        <v>45505</v>
      </c>
      <c r="B21">
        <v>136</v>
      </c>
      <c r="C21">
        <v>154</v>
      </c>
    </row>
    <row r="22" spans="1:3" x14ac:dyDescent="0.3">
      <c r="A22" s="1">
        <v>45536</v>
      </c>
      <c r="B22">
        <v>108</v>
      </c>
      <c r="C22">
        <v>154</v>
      </c>
    </row>
    <row r="23" spans="1:3" x14ac:dyDescent="0.3">
      <c r="A23" s="1">
        <v>45566</v>
      </c>
      <c r="B23">
        <v>111</v>
      </c>
      <c r="C23">
        <v>154</v>
      </c>
    </row>
    <row r="24" spans="1:3" x14ac:dyDescent="0.3">
      <c r="A24" s="1">
        <v>45597</v>
      </c>
      <c r="B24">
        <v>133</v>
      </c>
      <c r="C24">
        <v>154</v>
      </c>
    </row>
    <row r="25" spans="1:3" x14ac:dyDescent="0.3">
      <c r="A25" s="1">
        <v>45627</v>
      </c>
      <c r="B25">
        <v>156</v>
      </c>
      <c r="C25">
        <v>154</v>
      </c>
    </row>
    <row r="26" spans="1:3" x14ac:dyDescent="0.3">
      <c r="A26" s="1">
        <v>45658</v>
      </c>
      <c r="B26">
        <v>146</v>
      </c>
      <c r="C26">
        <v>154</v>
      </c>
    </row>
    <row r="27" spans="1:3" x14ac:dyDescent="0.3">
      <c r="A27" s="1">
        <v>45689</v>
      </c>
      <c r="B27">
        <v>146</v>
      </c>
      <c r="C27">
        <v>154</v>
      </c>
    </row>
    <row r="28" spans="1:3" x14ac:dyDescent="0.3">
      <c r="A28" s="1">
        <v>45717</v>
      </c>
      <c r="B28">
        <v>160</v>
      </c>
      <c r="C28">
        <v>154</v>
      </c>
    </row>
    <row r="29" spans="1:3" x14ac:dyDescent="0.3">
      <c r="A29" s="1">
        <v>45748</v>
      </c>
      <c r="B29">
        <v>175</v>
      </c>
      <c r="C29">
        <v>154</v>
      </c>
    </row>
    <row r="30" spans="1:3" x14ac:dyDescent="0.3">
      <c r="A30" s="1">
        <v>45778</v>
      </c>
      <c r="B30">
        <v>183</v>
      </c>
      <c r="C30">
        <v>154</v>
      </c>
    </row>
    <row r="31" spans="1:3" x14ac:dyDescent="0.3">
      <c r="A31" s="1">
        <v>45809</v>
      </c>
      <c r="B31">
        <v>206</v>
      </c>
      <c r="C31">
        <v>154</v>
      </c>
    </row>
    <row r="32" spans="1:3" x14ac:dyDescent="0.3">
      <c r="A32" s="1">
        <v>45839</v>
      </c>
      <c r="B32">
        <v>217</v>
      </c>
      <c r="C32">
        <v>154</v>
      </c>
    </row>
    <row r="33" spans="1:3" x14ac:dyDescent="0.3">
      <c r="A33" s="1">
        <v>45870</v>
      </c>
      <c r="B33">
        <v>222</v>
      </c>
      <c r="C33">
        <v>154</v>
      </c>
    </row>
    <row r="34" spans="1:3" x14ac:dyDescent="0.3">
      <c r="A34" s="1">
        <v>45901</v>
      </c>
      <c r="B34">
        <v>237</v>
      </c>
      <c r="C34">
        <v>154</v>
      </c>
    </row>
    <row r="35" spans="1:3" x14ac:dyDescent="0.3">
      <c r="A35" s="1">
        <v>45931</v>
      </c>
      <c r="B35">
        <v>257</v>
      </c>
      <c r="C35">
        <v>154</v>
      </c>
    </row>
    <row r="36" spans="1:3" x14ac:dyDescent="0.3">
      <c r="A36" s="1">
        <v>45962</v>
      </c>
      <c r="B36">
        <v>261</v>
      </c>
      <c r="C36">
        <v>154</v>
      </c>
    </row>
    <row r="37" spans="1:3" x14ac:dyDescent="0.3">
      <c r="A37" s="1">
        <v>45992</v>
      </c>
      <c r="B37">
        <v>306</v>
      </c>
      <c r="C37">
        <v>154</v>
      </c>
    </row>
    <row r="38" spans="1:3" x14ac:dyDescent="0.3">
      <c r="A38" s="1">
        <v>46023</v>
      </c>
      <c r="B38">
        <v>313</v>
      </c>
      <c r="C38">
        <v>154</v>
      </c>
    </row>
    <row r="39" spans="1:3" x14ac:dyDescent="0.3">
      <c r="A39" s="1">
        <v>46054</v>
      </c>
      <c r="B39">
        <v>321</v>
      </c>
      <c r="C39">
        <v>154</v>
      </c>
    </row>
    <row r="40" spans="1:3" x14ac:dyDescent="0.3">
      <c r="A40" s="1">
        <v>46082</v>
      </c>
      <c r="B40">
        <v>396</v>
      </c>
      <c r="C40">
        <v>154</v>
      </c>
    </row>
    <row r="41" spans="1:3" x14ac:dyDescent="0.3">
      <c r="A41" s="1">
        <v>46113</v>
      </c>
      <c r="B41">
        <v>435</v>
      </c>
      <c r="C41">
        <v>154</v>
      </c>
    </row>
    <row r="42" spans="1:3" x14ac:dyDescent="0.3">
      <c r="A42" s="1">
        <v>46143</v>
      </c>
      <c r="B42">
        <v>494</v>
      </c>
      <c r="C42">
        <v>154</v>
      </c>
    </row>
    <row r="43" spans="1:3" x14ac:dyDescent="0.3">
      <c r="A43" s="1">
        <v>46174</v>
      </c>
      <c r="B43">
        <v>521</v>
      </c>
      <c r="C43">
        <v>154</v>
      </c>
    </row>
    <row r="44" spans="1:3" x14ac:dyDescent="0.3">
      <c r="A44" s="1">
        <v>46204</v>
      </c>
      <c r="B44">
        <v>133</v>
      </c>
      <c r="C44">
        <v>154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82C16-A647-4030-AC0B-A42826FA3C32}">
  <dimension ref="A1:F44"/>
  <sheetViews>
    <sheetView topLeftCell="A2" workbookViewId="0">
      <selection activeCell="F16" sqref="F16"/>
    </sheetView>
  </sheetViews>
  <sheetFormatPr defaultRowHeight="14.4" x14ac:dyDescent="0.3"/>
  <cols>
    <col min="1" max="1" width="12.33203125" bestFit="1" customWidth="1"/>
    <col min="2" max="2" width="16.77734375" bestFit="1" customWidth="1"/>
    <col min="3" max="3" width="24.77734375" bestFit="1" customWidth="1"/>
    <col min="5" max="5" width="12.44140625" bestFit="1" customWidth="1"/>
    <col min="6" max="6" width="20.6640625" bestFit="1" customWidth="1"/>
  </cols>
  <sheetData>
    <row r="1" spans="1:6" x14ac:dyDescent="0.3">
      <c r="A1" t="s">
        <v>0</v>
      </c>
      <c r="B1" t="s">
        <v>3</v>
      </c>
      <c r="C1" t="s">
        <v>4</v>
      </c>
    </row>
    <row r="2" spans="1:6" x14ac:dyDescent="0.3">
      <c r="A2" s="1">
        <v>44927</v>
      </c>
      <c r="B2">
        <v>2</v>
      </c>
      <c r="C2">
        <v>174</v>
      </c>
    </row>
    <row r="3" spans="1:6" x14ac:dyDescent="0.3">
      <c r="A3" s="1">
        <v>44958</v>
      </c>
      <c r="B3">
        <v>8</v>
      </c>
      <c r="C3">
        <v>174</v>
      </c>
    </row>
    <row r="4" spans="1:6" x14ac:dyDescent="0.3">
      <c r="A4" s="1">
        <v>44986</v>
      </c>
      <c r="B4">
        <v>10</v>
      </c>
      <c r="C4">
        <v>174</v>
      </c>
    </row>
    <row r="5" spans="1:6" x14ac:dyDescent="0.3">
      <c r="A5" s="1">
        <v>45017</v>
      </c>
      <c r="B5">
        <v>22</v>
      </c>
      <c r="C5">
        <v>174</v>
      </c>
    </row>
    <row r="6" spans="1:6" x14ac:dyDescent="0.3">
      <c r="A6" s="1">
        <v>45047</v>
      </c>
      <c r="B6">
        <v>22</v>
      </c>
      <c r="C6">
        <v>174</v>
      </c>
      <c r="E6" s="11" t="s">
        <v>926</v>
      </c>
      <c r="F6" t="s">
        <v>972</v>
      </c>
    </row>
    <row r="7" spans="1:6" x14ac:dyDescent="0.3">
      <c r="A7" s="1">
        <v>45078</v>
      </c>
      <c r="B7">
        <v>17</v>
      </c>
      <c r="C7">
        <v>174</v>
      </c>
      <c r="E7" s="12" t="s">
        <v>967</v>
      </c>
      <c r="F7" s="29">
        <v>324</v>
      </c>
    </row>
    <row r="8" spans="1:6" x14ac:dyDescent="0.3">
      <c r="A8" s="1">
        <v>45108</v>
      </c>
      <c r="B8">
        <v>22</v>
      </c>
      <c r="C8">
        <v>174</v>
      </c>
      <c r="E8" s="12" t="s">
        <v>968</v>
      </c>
      <c r="F8" s="29">
        <v>1237</v>
      </c>
    </row>
    <row r="9" spans="1:6" x14ac:dyDescent="0.3">
      <c r="A9" s="1">
        <v>45139</v>
      </c>
      <c r="B9">
        <v>32</v>
      </c>
      <c r="C9">
        <v>174</v>
      </c>
      <c r="E9" s="12" t="s">
        <v>969</v>
      </c>
      <c r="F9" s="29">
        <v>2714</v>
      </c>
    </row>
    <row r="10" spans="1:6" x14ac:dyDescent="0.3">
      <c r="A10" s="1">
        <v>45170</v>
      </c>
      <c r="B10">
        <v>38</v>
      </c>
      <c r="C10">
        <v>174</v>
      </c>
      <c r="E10" s="12" t="s">
        <v>970</v>
      </c>
      <c r="F10" s="29">
        <v>3225</v>
      </c>
    </row>
    <row r="11" spans="1:6" x14ac:dyDescent="0.3">
      <c r="A11" s="1">
        <v>45200</v>
      </c>
      <c r="B11">
        <v>42</v>
      </c>
      <c r="C11">
        <v>174</v>
      </c>
      <c r="E11" s="12" t="s">
        <v>927</v>
      </c>
      <c r="F11" s="29">
        <v>7500</v>
      </c>
    </row>
    <row r="12" spans="1:6" x14ac:dyDescent="0.3">
      <c r="A12" s="1">
        <v>45231</v>
      </c>
      <c r="B12">
        <v>52</v>
      </c>
      <c r="C12">
        <v>174</v>
      </c>
    </row>
    <row r="13" spans="1:6" x14ac:dyDescent="0.3">
      <c r="A13" s="1">
        <v>45261</v>
      </c>
      <c r="B13">
        <v>57</v>
      </c>
      <c r="C13">
        <v>174</v>
      </c>
    </row>
    <row r="14" spans="1:6" x14ac:dyDescent="0.3">
      <c r="A14" s="1">
        <v>45292</v>
      </c>
      <c r="B14">
        <v>51</v>
      </c>
      <c r="C14">
        <v>174</v>
      </c>
    </row>
    <row r="15" spans="1:6" x14ac:dyDescent="0.3">
      <c r="A15" s="1">
        <v>45323</v>
      </c>
      <c r="B15">
        <v>58</v>
      </c>
      <c r="C15">
        <v>174</v>
      </c>
    </row>
    <row r="16" spans="1:6" x14ac:dyDescent="0.3">
      <c r="A16" s="1">
        <v>45352</v>
      </c>
      <c r="B16">
        <v>77</v>
      </c>
      <c r="C16">
        <v>174</v>
      </c>
    </row>
    <row r="17" spans="1:3" x14ac:dyDescent="0.3">
      <c r="A17" s="1">
        <v>45383</v>
      </c>
      <c r="B17">
        <v>88</v>
      </c>
      <c r="C17">
        <v>174</v>
      </c>
    </row>
    <row r="18" spans="1:3" x14ac:dyDescent="0.3">
      <c r="A18" s="1">
        <v>45413</v>
      </c>
      <c r="B18">
        <v>94</v>
      </c>
      <c r="C18">
        <v>174</v>
      </c>
    </row>
    <row r="19" spans="1:3" x14ac:dyDescent="0.3">
      <c r="A19" s="1">
        <v>45444</v>
      </c>
      <c r="B19">
        <v>87</v>
      </c>
      <c r="C19">
        <v>174</v>
      </c>
    </row>
    <row r="20" spans="1:3" x14ac:dyDescent="0.3">
      <c r="A20" s="1">
        <v>45474</v>
      </c>
      <c r="B20">
        <v>104</v>
      </c>
      <c r="C20">
        <v>174</v>
      </c>
    </row>
    <row r="21" spans="1:3" x14ac:dyDescent="0.3">
      <c r="A21" s="1">
        <v>45505</v>
      </c>
      <c r="B21">
        <v>142</v>
      </c>
      <c r="C21">
        <v>174</v>
      </c>
    </row>
    <row r="22" spans="1:3" x14ac:dyDescent="0.3">
      <c r="A22" s="1">
        <v>45536</v>
      </c>
      <c r="B22">
        <v>110</v>
      </c>
      <c r="C22">
        <v>174</v>
      </c>
    </row>
    <row r="23" spans="1:3" x14ac:dyDescent="0.3">
      <c r="A23" s="1">
        <v>45566</v>
      </c>
      <c r="B23">
        <v>118</v>
      </c>
      <c r="C23">
        <v>174</v>
      </c>
    </row>
    <row r="24" spans="1:3" x14ac:dyDescent="0.3">
      <c r="A24" s="1">
        <v>45597</v>
      </c>
      <c r="B24">
        <v>138</v>
      </c>
      <c r="C24">
        <v>174</v>
      </c>
    </row>
    <row r="25" spans="1:3" x14ac:dyDescent="0.3">
      <c r="A25" s="1">
        <v>45627</v>
      </c>
      <c r="B25">
        <v>170</v>
      </c>
      <c r="C25">
        <v>174</v>
      </c>
    </row>
    <row r="26" spans="1:3" x14ac:dyDescent="0.3">
      <c r="A26" s="1">
        <v>45658</v>
      </c>
      <c r="B26">
        <v>155</v>
      </c>
      <c r="C26">
        <v>174</v>
      </c>
    </row>
    <row r="27" spans="1:3" x14ac:dyDescent="0.3">
      <c r="A27" s="1">
        <v>45689</v>
      </c>
      <c r="B27">
        <v>151</v>
      </c>
      <c r="C27">
        <v>174</v>
      </c>
    </row>
    <row r="28" spans="1:3" x14ac:dyDescent="0.3">
      <c r="A28" s="1">
        <v>45717</v>
      </c>
      <c r="B28">
        <v>172</v>
      </c>
      <c r="C28">
        <v>174</v>
      </c>
    </row>
    <row r="29" spans="1:3" x14ac:dyDescent="0.3">
      <c r="A29" s="1">
        <v>45748</v>
      </c>
      <c r="B29">
        <v>185</v>
      </c>
      <c r="C29">
        <v>174</v>
      </c>
    </row>
    <row r="30" spans="1:3" x14ac:dyDescent="0.3">
      <c r="A30" s="1">
        <v>45778</v>
      </c>
      <c r="B30">
        <v>187</v>
      </c>
      <c r="C30">
        <v>174</v>
      </c>
    </row>
    <row r="31" spans="1:3" x14ac:dyDescent="0.3">
      <c r="A31" s="1">
        <v>45809</v>
      </c>
      <c r="B31">
        <v>224</v>
      </c>
      <c r="C31">
        <v>174</v>
      </c>
    </row>
    <row r="32" spans="1:3" x14ac:dyDescent="0.3">
      <c r="A32" s="1">
        <v>45839</v>
      </c>
      <c r="B32">
        <v>232</v>
      </c>
      <c r="C32">
        <v>174</v>
      </c>
    </row>
    <row r="33" spans="1:3" x14ac:dyDescent="0.3">
      <c r="A33" s="1">
        <v>45870</v>
      </c>
      <c r="B33">
        <v>243</v>
      </c>
      <c r="C33">
        <v>174</v>
      </c>
    </row>
    <row r="34" spans="1:3" x14ac:dyDescent="0.3">
      <c r="A34" s="1">
        <v>45901</v>
      </c>
      <c r="B34">
        <v>260</v>
      </c>
      <c r="C34">
        <v>174</v>
      </c>
    </row>
    <row r="35" spans="1:3" x14ac:dyDescent="0.3">
      <c r="A35" s="1">
        <v>45931</v>
      </c>
      <c r="B35">
        <v>277</v>
      </c>
      <c r="C35">
        <v>174</v>
      </c>
    </row>
    <row r="36" spans="1:3" x14ac:dyDescent="0.3">
      <c r="A36" s="1">
        <v>45962</v>
      </c>
      <c r="B36">
        <v>296</v>
      </c>
      <c r="C36">
        <v>174</v>
      </c>
    </row>
    <row r="37" spans="1:3" x14ac:dyDescent="0.3">
      <c r="A37" s="1">
        <v>45992</v>
      </c>
      <c r="B37">
        <v>332</v>
      </c>
      <c r="C37">
        <v>174</v>
      </c>
    </row>
    <row r="38" spans="1:3" x14ac:dyDescent="0.3">
      <c r="A38" s="1">
        <v>46023</v>
      </c>
      <c r="B38">
        <v>350</v>
      </c>
      <c r="C38">
        <v>174</v>
      </c>
    </row>
    <row r="39" spans="1:3" x14ac:dyDescent="0.3">
      <c r="A39" s="1">
        <v>46054</v>
      </c>
      <c r="B39">
        <v>364</v>
      </c>
      <c r="C39">
        <v>174</v>
      </c>
    </row>
    <row r="40" spans="1:3" x14ac:dyDescent="0.3">
      <c r="A40" s="1">
        <v>46082</v>
      </c>
      <c r="B40">
        <v>451</v>
      </c>
      <c r="C40">
        <v>174</v>
      </c>
    </row>
    <row r="41" spans="1:3" x14ac:dyDescent="0.3">
      <c r="A41" s="1">
        <v>46113</v>
      </c>
      <c r="B41">
        <v>517</v>
      </c>
      <c r="C41">
        <v>174</v>
      </c>
    </row>
    <row r="42" spans="1:3" x14ac:dyDescent="0.3">
      <c r="A42" s="1">
        <v>46143</v>
      </c>
      <c r="B42">
        <v>603</v>
      </c>
      <c r="C42">
        <v>174</v>
      </c>
    </row>
    <row r="43" spans="1:3" x14ac:dyDescent="0.3">
      <c r="A43" s="1">
        <v>46174</v>
      </c>
      <c r="B43">
        <v>762</v>
      </c>
      <c r="C43">
        <v>174</v>
      </c>
    </row>
    <row r="44" spans="1:3" x14ac:dyDescent="0.3">
      <c r="A44" s="1">
        <v>46204</v>
      </c>
      <c r="B44">
        <v>178</v>
      </c>
      <c r="C44">
        <v>174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BB910-6128-4442-B875-4EF70A97C587}">
  <dimension ref="A1:G44"/>
  <sheetViews>
    <sheetView topLeftCell="A2" workbookViewId="0">
      <selection activeCell="F5" sqref="F5"/>
    </sheetView>
  </sheetViews>
  <sheetFormatPr defaultRowHeight="14.4" x14ac:dyDescent="0.3"/>
  <cols>
    <col min="1" max="1" width="12.33203125" bestFit="1" customWidth="1"/>
    <col min="2" max="2" width="20.33203125" bestFit="1" customWidth="1"/>
    <col min="3" max="3" width="27.109375" bestFit="1" customWidth="1"/>
    <col min="6" max="6" width="12.44140625" bestFit="1" customWidth="1"/>
    <col min="7" max="7" width="24.21875" bestFit="1" customWidth="1"/>
  </cols>
  <sheetData>
    <row r="1" spans="1:7" x14ac:dyDescent="0.3">
      <c r="A1" t="s">
        <v>0</v>
      </c>
      <c r="B1" t="s">
        <v>5</v>
      </c>
      <c r="C1" t="s">
        <v>6</v>
      </c>
    </row>
    <row r="2" spans="1:7" x14ac:dyDescent="0.3">
      <c r="A2" s="1">
        <v>44927</v>
      </c>
      <c r="B2">
        <v>1880</v>
      </c>
      <c r="C2">
        <v>125541</v>
      </c>
    </row>
    <row r="3" spans="1:7" x14ac:dyDescent="0.3">
      <c r="A3" s="1">
        <v>44958</v>
      </c>
      <c r="B3">
        <v>4420</v>
      </c>
      <c r="C3">
        <v>125541</v>
      </c>
    </row>
    <row r="4" spans="1:7" x14ac:dyDescent="0.3">
      <c r="A4" s="1">
        <v>44986</v>
      </c>
      <c r="B4">
        <v>5603</v>
      </c>
      <c r="C4">
        <v>125541</v>
      </c>
    </row>
    <row r="5" spans="1:7" x14ac:dyDescent="0.3">
      <c r="A5" s="1">
        <v>45017</v>
      </c>
      <c r="B5">
        <v>18718</v>
      </c>
      <c r="C5">
        <v>125541</v>
      </c>
      <c r="F5" s="11" t="s">
        <v>926</v>
      </c>
      <c r="G5" t="s">
        <v>945</v>
      </c>
    </row>
    <row r="6" spans="1:7" x14ac:dyDescent="0.3">
      <c r="A6" s="1">
        <v>45047</v>
      </c>
      <c r="B6">
        <v>13862</v>
      </c>
      <c r="C6">
        <v>125541</v>
      </c>
      <c r="F6" s="12" t="s">
        <v>967</v>
      </c>
      <c r="G6" s="29">
        <v>259909</v>
      </c>
    </row>
    <row r="7" spans="1:7" x14ac:dyDescent="0.3">
      <c r="A7" s="1">
        <v>45078</v>
      </c>
      <c r="B7">
        <v>12063</v>
      </c>
      <c r="C7">
        <v>125541</v>
      </c>
      <c r="F7" s="12" t="s">
        <v>968</v>
      </c>
      <c r="G7" s="29">
        <v>897582</v>
      </c>
    </row>
    <row r="8" spans="1:7" x14ac:dyDescent="0.3">
      <c r="A8" s="1">
        <v>45108</v>
      </c>
      <c r="B8">
        <v>21149</v>
      </c>
      <c r="C8">
        <v>125541</v>
      </c>
      <c r="F8" s="12" t="s">
        <v>969</v>
      </c>
      <c r="G8" s="29">
        <v>1922150</v>
      </c>
    </row>
    <row r="9" spans="1:7" x14ac:dyDescent="0.3">
      <c r="A9" s="1">
        <v>45139</v>
      </c>
      <c r="B9">
        <v>23383</v>
      </c>
      <c r="C9">
        <v>125541</v>
      </c>
      <c r="F9" s="12" t="s">
        <v>970</v>
      </c>
      <c r="G9" s="29">
        <v>2318607</v>
      </c>
    </row>
    <row r="10" spans="1:7" x14ac:dyDescent="0.3">
      <c r="A10" s="1">
        <v>45170</v>
      </c>
      <c r="B10">
        <v>33572</v>
      </c>
      <c r="C10">
        <v>125541</v>
      </c>
      <c r="F10" s="12" t="s">
        <v>927</v>
      </c>
      <c r="G10" s="29">
        <v>5398248</v>
      </c>
    </row>
    <row r="11" spans="1:7" x14ac:dyDescent="0.3">
      <c r="A11" s="1">
        <v>45200</v>
      </c>
      <c r="B11">
        <v>42130</v>
      </c>
      <c r="C11">
        <v>125541</v>
      </c>
    </row>
    <row r="12" spans="1:7" x14ac:dyDescent="0.3">
      <c r="A12" s="1">
        <v>45231</v>
      </c>
      <c r="B12">
        <v>38083</v>
      </c>
      <c r="C12">
        <v>125541</v>
      </c>
    </row>
    <row r="13" spans="1:7" x14ac:dyDescent="0.3">
      <c r="A13" s="1">
        <v>45261</v>
      </c>
      <c r="B13">
        <v>45046</v>
      </c>
      <c r="C13">
        <v>125541</v>
      </c>
    </row>
    <row r="14" spans="1:7" x14ac:dyDescent="0.3">
      <c r="A14" s="1">
        <v>45292</v>
      </c>
      <c r="B14">
        <v>42103</v>
      </c>
      <c r="C14">
        <v>125541</v>
      </c>
    </row>
    <row r="15" spans="1:7" x14ac:dyDescent="0.3">
      <c r="A15" s="1">
        <v>45323</v>
      </c>
      <c r="B15">
        <v>38094</v>
      </c>
      <c r="C15">
        <v>125541</v>
      </c>
    </row>
    <row r="16" spans="1:7" x14ac:dyDescent="0.3">
      <c r="A16" s="1">
        <v>45352</v>
      </c>
      <c r="B16">
        <v>66346</v>
      </c>
      <c r="C16">
        <v>125541</v>
      </c>
    </row>
    <row r="17" spans="1:3" x14ac:dyDescent="0.3">
      <c r="A17" s="1">
        <v>45383</v>
      </c>
      <c r="B17">
        <v>63964</v>
      </c>
      <c r="C17">
        <v>125541</v>
      </c>
    </row>
    <row r="18" spans="1:3" x14ac:dyDescent="0.3">
      <c r="A18" s="1">
        <v>45413</v>
      </c>
      <c r="B18">
        <v>71175</v>
      </c>
      <c r="C18">
        <v>125541</v>
      </c>
    </row>
    <row r="19" spans="1:3" x14ac:dyDescent="0.3">
      <c r="A19" s="1">
        <v>45444</v>
      </c>
      <c r="B19">
        <v>56637</v>
      </c>
      <c r="C19">
        <v>125541</v>
      </c>
    </row>
    <row r="20" spans="1:3" x14ac:dyDescent="0.3">
      <c r="A20" s="1">
        <v>45474</v>
      </c>
      <c r="B20">
        <v>74194</v>
      </c>
      <c r="C20">
        <v>125541</v>
      </c>
    </row>
    <row r="21" spans="1:3" x14ac:dyDescent="0.3">
      <c r="A21" s="1">
        <v>45505</v>
      </c>
      <c r="B21">
        <v>98506</v>
      </c>
      <c r="C21">
        <v>125541</v>
      </c>
    </row>
    <row r="22" spans="1:3" x14ac:dyDescent="0.3">
      <c r="A22" s="1">
        <v>45536</v>
      </c>
      <c r="B22">
        <v>85785</v>
      </c>
      <c r="C22">
        <v>125541</v>
      </c>
    </row>
    <row r="23" spans="1:3" x14ac:dyDescent="0.3">
      <c r="A23" s="1">
        <v>45566</v>
      </c>
      <c r="B23">
        <v>79849</v>
      </c>
      <c r="C23">
        <v>125541</v>
      </c>
    </row>
    <row r="24" spans="1:3" x14ac:dyDescent="0.3">
      <c r="A24" s="1">
        <v>45597</v>
      </c>
      <c r="B24">
        <v>99876</v>
      </c>
      <c r="C24">
        <v>125541</v>
      </c>
    </row>
    <row r="25" spans="1:3" x14ac:dyDescent="0.3">
      <c r="A25" s="1">
        <v>45627</v>
      </c>
      <c r="B25">
        <v>121053</v>
      </c>
      <c r="C25">
        <v>125541</v>
      </c>
    </row>
    <row r="26" spans="1:3" x14ac:dyDescent="0.3">
      <c r="A26" s="1">
        <v>45658</v>
      </c>
      <c r="B26">
        <v>115069</v>
      </c>
      <c r="C26">
        <v>125541</v>
      </c>
    </row>
    <row r="27" spans="1:3" x14ac:dyDescent="0.3">
      <c r="A27" s="1">
        <v>45689</v>
      </c>
      <c r="B27">
        <v>115162</v>
      </c>
      <c r="C27">
        <v>125541</v>
      </c>
    </row>
    <row r="28" spans="1:3" x14ac:dyDescent="0.3">
      <c r="A28" s="1">
        <v>45717</v>
      </c>
      <c r="B28">
        <v>129701</v>
      </c>
      <c r="C28">
        <v>125541</v>
      </c>
    </row>
    <row r="29" spans="1:3" x14ac:dyDescent="0.3">
      <c r="A29" s="1">
        <v>45748</v>
      </c>
      <c r="B29">
        <v>135782</v>
      </c>
      <c r="C29">
        <v>125541</v>
      </c>
    </row>
    <row r="30" spans="1:3" x14ac:dyDescent="0.3">
      <c r="A30" s="1">
        <v>45778</v>
      </c>
      <c r="B30">
        <v>127706</v>
      </c>
      <c r="C30">
        <v>125541</v>
      </c>
    </row>
    <row r="31" spans="1:3" x14ac:dyDescent="0.3">
      <c r="A31" s="1">
        <v>45809</v>
      </c>
      <c r="B31">
        <v>155423</v>
      </c>
      <c r="C31">
        <v>125541</v>
      </c>
    </row>
    <row r="32" spans="1:3" x14ac:dyDescent="0.3">
      <c r="A32" s="1">
        <v>45839</v>
      </c>
      <c r="B32">
        <v>157741</v>
      </c>
      <c r="C32">
        <v>125541</v>
      </c>
    </row>
    <row r="33" spans="1:3" x14ac:dyDescent="0.3">
      <c r="A33" s="1">
        <v>45870</v>
      </c>
      <c r="B33">
        <v>162707</v>
      </c>
      <c r="C33">
        <v>125541</v>
      </c>
    </row>
    <row r="34" spans="1:3" x14ac:dyDescent="0.3">
      <c r="A34" s="1">
        <v>45901</v>
      </c>
      <c r="B34">
        <v>182969</v>
      </c>
      <c r="C34">
        <v>125541</v>
      </c>
    </row>
    <row r="35" spans="1:3" x14ac:dyDescent="0.3">
      <c r="A35" s="1">
        <v>45931</v>
      </c>
      <c r="B35">
        <v>202741</v>
      </c>
      <c r="C35">
        <v>125541</v>
      </c>
    </row>
    <row r="36" spans="1:3" x14ac:dyDescent="0.3">
      <c r="A36" s="1">
        <v>45962</v>
      </c>
      <c r="B36">
        <v>202049</v>
      </c>
      <c r="C36">
        <v>125541</v>
      </c>
    </row>
    <row r="37" spans="1:3" x14ac:dyDescent="0.3">
      <c r="A37" s="1">
        <v>45992</v>
      </c>
      <c r="B37">
        <v>235100</v>
      </c>
      <c r="C37">
        <v>125541</v>
      </c>
    </row>
    <row r="38" spans="1:3" x14ac:dyDescent="0.3">
      <c r="A38" s="1">
        <v>46023</v>
      </c>
      <c r="B38">
        <v>252255</v>
      </c>
      <c r="C38">
        <v>125541</v>
      </c>
    </row>
    <row r="39" spans="1:3" x14ac:dyDescent="0.3">
      <c r="A39" s="1">
        <v>46054</v>
      </c>
      <c r="B39">
        <v>261328</v>
      </c>
      <c r="C39">
        <v>125541</v>
      </c>
    </row>
    <row r="40" spans="1:3" x14ac:dyDescent="0.3">
      <c r="A40" s="1">
        <v>46082</v>
      </c>
      <c r="B40">
        <v>323561</v>
      </c>
      <c r="C40">
        <v>125541</v>
      </c>
    </row>
    <row r="41" spans="1:3" x14ac:dyDescent="0.3">
      <c r="A41" s="1">
        <v>46113</v>
      </c>
      <c r="B41">
        <v>382024</v>
      </c>
      <c r="C41">
        <v>125541</v>
      </c>
    </row>
    <row r="42" spans="1:3" x14ac:dyDescent="0.3">
      <c r="A42" s="1">
        <v>46143</v>
      </c>
      <c r="B42">
        <v>435977</v>
      </c>
      <c r="C42">
        <v>125541</v>
      </c>
    </row>
    <row r="43" spans="1:3" x14ac:dyDescent="0.3">
      <c r="A43" s="1">
        <v>46174</v>
      </c>
      <c r="B43">
        <v>543467</v>
      </c>
      <c r="C43">
        <v>125541</v>
      </c>
    </row>
    <row r="44" spans="1:3" x14ac:dyDescent="0.3">
      <c r="A44" s="1">
        <v>46204</v>
      </c>
      <c r="B44">
        <v>119995</v>
      </c>
      <c r="C44">
        <v>125541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84A8A-1B33-4447-A1BA-75F2ACFB0200}">
  <dimension ref="A1:G44"/>
  <sheetViews>
    <sheetView topLeftCell="A16" workbookViewId="0">
      <selection activeCell="G26" sqref="G26"/>
    </sheetView>
  </sheetViews>
  <sheetFormatPr defaultRowHeight="14.4" x14ac:dyDescent="0.3"/>
  <cols>
    <col min="1" max="1" width="12.33203125" bestFit="1" customWidth="1"/>
    <col min="2" max="2" width="18" bestFit="1" customWidth="1"/>
    <col min="3" max="3" width="16.44140625" bestFit="1" customWidth="1"/>
    <col min="4" max="4" width="24.88671875" bestFit="1" customWidth="1"/>
    <col min="6" max="6" width="16.5546875" style="1" bestFit="1" customWidth="1"/>
    <col min="7" max="7" width="15.77734375" bestFit="1" customWidth="1"/>
    <col min="13" max="13" width="12.44140625" bestFit="1" customWidth="1"/>
    <col min="14" max="14" width="22" bestFit="1" customWidth="1"/>
    <col min="15" max="16" width="23.109375" bestFit="1" customWidth="1"/>
  </cols>
  <sheetData>
    <row r="1" spans="1:7" x14ac:dyDescent="0.3">
      <c r="A1" t="s">
        <v>0</v>
      </c>
      <c r="B1" t="s">
        <v>7</v>
      </c>
      <c r="C1" t="s">
        <v>8</v>
      </c>
      <c r="D1" t="s">
        <v>9</v>
      </c>
      <c r="F1" s="9" t="s">
        <v>0</v>
      </c>
      <c r="G1" s="10" t="s">
        <v>7</v>
      </c>
    </row>
    <row r="2" spans="1:7" x14ac:dyDescent="0.3">
      <c r="A2" s="1">
        <v>44927</v>
      </c>
      <c r="B2" t="s">
        <v>10</v>
      </c>
      <c r="C2" t="s">
        <v>11</v>
      </c>
      <c r="D2" t="s">
        <v>12</v>
      </c>
      <c r="F2" s="9">
        <v>44927</v>
      </c>
      <c r="G2" s="3">
        <f>TIMEVALUE(SUBSTITUTE(SUBSTITUTE(_4__MONTHLY_AVG_SESSION_DURATION[[#This Row],[TOTAL_DURATION]],"hour",":"),"min",""))</f>
        <v>0.37361111111111112</v>
      </c>
    </row>
    <row r="3" spans="1:7" x14ac:dyDescent="0.3">
      <c r="A3" s="1">
        <v>44958</v>
      </c>
      <c r="B3" t="s">
        <v>13</v>
      </c>
      <c r="C3" t="s">
        <v>14</v>
      </c>
      <c r="D3" t="s">
        <v>12</v>
      </c>
      <c r="F3" s="9">
        <v>44958</v>
      </c>
      <c r="G3" s="3">
        <f>TIMEVALUE(SUBSTITUTE(SUBSTITUTE(_4__MONTHLY_AVG_SESSION_DURATION[[#This Row],[TOTAL_DURATION]],"hour",":"),"min",""))</f>
        <v>0.54374999999999996</v>
      </c>
    </row>
    <row r="4" spans="1:7" x14ac:dyDescent="0.3">
      <c r="A4" s="1">
        <v>44986</v>
      </c>
      <c r="B4" t="s">
        <v>15</v>
      </c>
      <c r="C4" t="s">
        <v>16</v>
      </c>
      <c r="D4" t="s">
        <v>12</v>
      </c>
      <c r="F4" s="9">
        <v>44986</v>
      </c>
      <c r="G4" s="3">
        <f>TIMEVALUE(SUBSTITUTE(SUBSTITUTE(_4__MONTHLY_AVG_SESSION_DURATION[[#This Row],[TOTAL_DURATION]],"hour",":"),"min",""))</f>
        <v>0.77847222222222223</v>
      </c>
    </row>
    <row r="5" spans="1:7" x14ac:dyDescent="0.3">
      <c r="A5" s="1">
        <v>45017</v>
      </c>
      <c r="B5" t="s">
        <v>17</v>
      </c>
      <c r="C5" t="s">
        <v>18</v>
      </c>
      <c r="D5" t="s">
        <v>12</v>
      </c>
      <c r="F5" s="9">
        <v>45017</v>
      </c>
      <c r="G5" s="3">
        <f>TIMEVALUE(SUBSTITUTE(SUBSTITUTE(_4__MONTHLY_AVG_SESSION_DURATION[[#This Row],[TOTAL_DURATION]],"hour",":"),"min",""))</f>
        <v>0.61597222222222214</v>
      </c>
    </row>
    <row r="6" spans="1:7" x14ac:dyDescent="0.3">
      <c r="A6" s="1">
        <v>45047</v>
      </c>
      <c r="B6" t="s">
        <v>19</v>
      </c>
      <c r="C6" t="s">
        <v>20</v>
      </c>
      <c r="D6" t="s">
        <v>12</v>
      </c>
      <c r="F6" s="9">
        <v>45047</v>
      </c>
      <c r="G6" s="3">
        <f>TIMEVALUE(SUBSTITUTE(SUBSTITUTE(_4__MONTHLY_AVG_SESSION_DURATION[[#This Row],[TOTAL_DURATION]],"hour",":"),"min",""))</f>
        <v>0.29444444444444451</v>
      </c>
    </row>
    <row r="7" spans="1:7" x14ac:dyDescent="0.3">
      <c r="A7" s="1">
        <v>45078</v>
      </c>
      <c r="B7" t="s">
        <v>21</v>
      </c>
      <c r="C7" t="s">
        <v>22</v>
      </c>
      <c r="D7" t="s">
        <v>12</v>
      </c>
      <c r="F7" s="9">
        <v>45078</v>
      </c>
      <c r="G7" s="3">
        <f>TIMEVALUE(SUBSTITUTE(SUBSTITUTE(_4__MONTHLY_AVG_SESSION_DURATION[[#This Row],[TOTAL_DURATION]],"hour",":"),"min",""))</f>
        <v>0.43124999999999991</v>
      </c>
    </row>
    <row r="8" spans="1:7" x14ac:dyDescent="0.3">
      <c r="A8" s="1">
        <v>45108</v>
      </c>
      <c r="B8" t="s">
        <v>23</v>
      </c>
      <c r="C8" t="s">
        <v>24</v>
      </c>
      <c r="D8" t="s">
        <v>12</v>
      </c>
      <c r="F8" s="9">
        <v>45108</v>
      </c>
      <c r="G8" s="3">
        <f>TIMEVALUE(SUBSTITUTE(SUBSTITUTE(_4__MONTHLY_AVG_SESSION_DURATION[[#This Row],[TOTAL_DURATION]],"hour",":"),"min",""))</f>
        <v>0.9458333333333333</v>
      </c>
    </row>
    <row r="9" spans="1:7" x14ac:dyDescent="0.3">
      <c r="A9" s="1">
        <v>45139</v>
      </c>
      <c r="B9" t="s">
        <v>25</v>
      </c>
      <c r="C9" t="s">
        <v>26</v>
      </c>
      <c r="D9" t="s">
        <v>12</v>
      </c>
      <c r="F9" s="9">
        <v>45139</v>
      </c>
      <c r="G9" s="3">
        <f>TIMEVALUE(SUBSTITUTE(SUBSTITUTE(_4__MONTHLY_AVG_SESSION_DURATION[[#This Row],[TOTAL_DURATION]],"hour",":"),"min",""))</f>
        <v>0.99930555555555545</v>
      </c>
    </row>
    <row r="10" spans="1:7" x14ac:dyDescent="0.3">
      <c r="A10" s="1">
        <v>45170</v>
      </c>
      <c r="B10" t="s">
        <v>27</v>
      </c>
      <c r="C10" t="s">
        <v>28</v>
      </c>
      <c r="D10" t="s">
        <v>12</v>
      </c>
      <c r="F10" s="9">
        <v>45170</v>
      </c>
      <c r="G10" s="3">
        <f>TIMEVALUE(SUBSTITUTE(SUBSTITUTE(_4__MONTHLY_AVG_SESSION_DURATION[[#This Row],[TOTAL_DURATION]],"hour",":"),"min",""))</f>
        <v>0.85000000000000009</v>
      </c>
    </row>
    <row r="11" spans="1:7" x14ac:dyDescent="0.3">
      <c r="A11" s="1">
        <v>45200</v>
      </c>
      <c r="B11" t="s">
        <v>29</v>
      </c>
      <c r="C11" t="s">
        <v>30</v>
      </c>
      <c r="D11" t="s">
        <v>12</v>
      </c>
      <c r="F11" s="9">
        <v>45200</v>
      </c>
      <c r="G11" s="3">
        <f>TIMEVALUE(SUBSTITUTE(SUBSTITUTE(_4__MONTHLY_AVG_SESSION_DURATION[[#This Row],[TOTAL_DURATION]],"hour",":"),"min",""))</f>
        <v>0.76111111111111107</v>
      </c>
    </row>
    <row r="12" spans="1:7" x14ac:dyDescent="0.3">
      <c r="A12" s="1">
        <v>45231</v>
      </c>
      <c r="B12" t="s">
        <v>31</v>
      </c>
      <c r="C12" t="s">
        <v>32</v>
      </c>
      <c r="D12" t="s">
        <v>12</v>
      </c>
      <c r="F12" s="9">
        <v>45231</v>
      </c>
      <c r="G12" s="3">
        <f>TIMEVALUE(SUBSTITUTE(SUBSTITUTE(_4__MONTHLY_AVG_SESSION_DURATION[[#This Row],[TOTAL_DURATION]],"hour",":"),"min",""))</f>
        <v>0.18472222222222223</v>
      </c>
    </row>
    <row r="13" spans="1:7" x14ac:dyDescent="0.3">
      <c r="A13" s="1">
        <v>45261</v>
      </c>
      <c r="B13" t="s">
        <v>33</v>
      </c>
      <c r="C13" t="s">
        <v>34</v>
      </c>
      <c r="D13" t="s">
        <v>12</v>
      </c>
      <c r="F13" s="9">
        <v>45261</v>
      </c>
      <c r="G13" s="3">
        <f>TIMEVALUE(SUBSTITUTE(SUBSTITUTE(_4__MONTHLY_AVG_SESSION_DURATION[[#This Row],[TOTAL_DURATION]],"hour",":"),"min",""))</f>
        <v>0.42708333333333348</v>
      </c>
    </row>
    <row r="14" spans="1:7" x14ac:dyDescent="0.3">
      <c r="A14" s="1">
        <v>45292</v>
      </c>
      <c r="B14" t="s">
        <v>35</v>
      </c>
      <c r="C14" t="s">
        <v>36</v>
      </c>
      <c r="D14" t="s">
        <v>12</v>
      </c>
      <c r="F14" s="9">
        <v>45292</v>
      </c>
      <c r="G14" s="3">
        <f>TIMEVALUE(SUBSTITUTE(SUBSTITUTE(_4__MONTHLY_AVG_SESSION_DURATION[[#This Row],[TOTAL_DURATION]],"hour",":"),"min",""))</f>
        <v>0.65833333333333321</v>
      </c>
    </row>
    <row r="15" spans="1:7" x14ac:dyDescent="0.3">
      <c r="A15" s="1">
        <v>45323</v>
      </c>
      <c r="B15" t="s">
        <v>37</v>
      </c>
      <c r="C15" t="s">
        <v>38</v>
      </c>
      <c r="D15" t="s">
        <v>12</v>
      </c>
      <c r="F15" s="9">
        <v>45323</v>
      </c>
      <c r="G15" s="3">
        <f>TIMEVALUE(SUBSTITUTE(SUBSTITUTE(_4__MONTHLY_AVG_SESSION_DURATION[[#This Row],[TOTAL_DURATION]],"hour",":"),"min",""))</f>
        <v>0.67152777777777795</v>
      </c>
    </row>
    <row r="16" spans="1:7" x14ac:dyDescent="0.3">
      <c r="A16" s="1">
        <v>45352</v>
      </c>
      <c r="B16" t="s">
        <v>39</v>
      </c>
      <c r="C16" t="s">
        <v>12</v>
      </c>
      <c r="D16" t="s">
        <v>12</v>
      </c>
      <c r="F16" s="9">
        <v>45352</v>
      </c>
      <c r="G16" s="3">
        <f>TIMEVALUE(SUBSTITUTE(SUBSTITUTE(_4__MONTHLY_AVG_SESSION_DURATION[[#This Row],[TOTAL_DURATION]],"hour",":"),"min",""))</f>
        <v>0.9534722222222225</v>
      </c>
    </row>
    <row r="17" spans="1:7" x14ac:dyDescent="0.3">
      <c r="A17" s="1">
        <v>45383</v>
      </c>
      <c r="B17" t="s">
        <v>40</v>
      </c>
      <c r="C17" t="s">
        <v>41</v>
      </c>
      <c r="D17" t="s">
        <v>12</v>
      </c>
      <c r="F17" s="9">
        <v>45383</v>
      </c>
      <c r="G17" s="3">
        <f>TIMEVALUE(SUBSTITUTE(SUBSTITUTE(_4__MONTHLY_AVG_SESSION_DURATION[[#This Row],[TOTAL_DURATION]],"hour",":"),"min",""))</f>
        <v>0.69236111111111143</v>
      </c>
    </row>
    <row r="18" spans="1:7" x14ac:dyDescent="0.3">
      <c r="A18" s="1">
        <v>45413</v>
      </c>
      <c r="B18" t="s">
        <v>42</v>
      </c>
      <c r="C18" t="s">
        <v>14</v>
      </c>
      <c r="D18" t="s">
        <v>12</v>
      </c>
      <c r="F18" s="9">
        <v>45413</v>
      </c>
      <c r="G18" s="3">
        <f>TIMEVALUE(SUBSTITUTE(SUBSTITUTE(_4__MONTHLY_AVG_SESSION_DURATION[[#This Row],[TOTAL_DURATION]],"hour",":"),"min",""))</f>
        <v>0.39166666666666661</v>
      </c>
    </row>
    <row r="19" spans="1:7" x14ac:dyDescent="0.3">
      <c r="A19" s="1">
        <v>45444</v>
      </c>
      <c r="B19" t="s">
        <v>43</v>
      </c>
      <c r="C19" t="s">
        <v>44</v>
      </c>
      <c r="D19" t="s">
        <v>12</v>
      </c>
      <c r="F19" s="9">
        <v>45444</v>
      </c>
      <c r="G19" s="3">
        <f>TIMEVALUE(SUBSTITUTE(SUBSTITUTE(_4__MONTHLY_AVG_SESSION_DURATION[[#This Row],[TOTAL_DURATION]],"hour",":"),"min",""))</f>
        <v>0.90694444444444455</v>
      </c>
    </row>
    <row r="20" spans="1:7" x14ac:dyDescent="0.3">
      <c r="A20" s="1">
        <v>45474</v>
      </c>
      <c r="B20" t="s">
        <v>45</v>
      </c>
      <c r="C20" t="s">
        <v>46</v>
      </c>
      <c r="D20" t="s">
        <v>12</v>
      </c>
      <c r="F20" s="9">
        <v>45474</v>
      </c>
      <c r="G20" s="3">
        <f>TIMEVALUE(SUBSTITUTE(SUBSTITUTE(_4__MONTHLY_AVG_SESSION_DURATION[[#This Row],[TOTAL_DURATION]],"hour",":"),"min",""))</f>
        <v>0.51319444444444429</v>
      </c>
    </row>
    <row r="21" spans="1:7" x14ac:dyDescent="0.3">
      <c r="A21" s="1">
        <v>45505</v>
      </c>
      <c r="B21" t="s">
        <v>47</v>
      </c>
      <c r="C21" t="s">
        <v>48</v>
      </c>
      <c r="D21" t="s">
        <v>12</v>
      </c>
      <c r="F21" s="9">
        <v>45505</v>
      </c>
      <c r="G21" s="3">
        <f>TIMEVALUE(SUBSTITUTE(SUBSTITUTE(_4__MONTHLY_AVG_SESSION_DURATION[[#This Row],[TOTAL_DURATION]],"hour",":"),"min",""))</f>
        <v>0.63402777777777786</v>
      </c>
    </row>
    <row r="22" spans="1:7" x14ac:dyDescent="0.3">
      <c r="A22" s="1">
        <v>45536</v>
      </c>
      <c r="B22" t="s">
        <v>49</v>
      </c>
      <c r="C22" t="s">
        <v>50</v>
      </c>
      <c r="D22" t="s">
        <v>12</v>
      </c>
      <c r="F22" s="9">
        <v>45536</v>
      </c>
      <c r="G22" s="3">
        <f>TIMEVALUE(SUBSTITUTE(SUBSTITUTE(_4__MONTHLY_AVG_SESSION_DURATION[[#This Row],[TOTAL_DURATION]],"hour",":"),"min",""))</f>
        <v>0.11388888888888893</v>
      </c>
    </row>
    <row r="23" spans="1:7" x14ac:dyDescent="0.3">
      <c r="A23" s="1">
        <v>45566</v>
      </c>
      <c r="B23" t="s">
        <v>51</v>
      </c>
      <c r="C23" t="s">
        <v>52</v>
      </c>
      <c r="D23" t="s">
        <v>12</v>
      </c>
      <c r="F23" s="9">
        <v>45566</v>
      </c>
      <c r="G23" s="3">
        <f>TIMEVALUE(SUBSTITUTE(SUBSTITUTE(_4__MONTHLY_AVG_SESSION_DURATION[[#This Row],[TOTAL_DURATION]],"hour",":"),"min",""))</f>
        <v>6.9444444444444642E-2</v>
      </c>
    </row>
    <row r="24" spans="1:7" x14ac:dyDescent="0.3">
      <c r="A24" s="1">
        <v>45597</v>
      </c>
      <c r="B24" t="s">
        <v>53</v>
      </c>
      <c r="C24" t="s">
        <v>50</v>
      </c>
      <c r="D24" t="s">
        <v>12</v>
      </c>
      <c r="F24" s="9">
        <v>45597</v>
      </c>
      <c r="G24" s="3">
        <f>TIMEVALUE(SUBSTITUTE(SUBSTITUTE(_4__MONTHLY_AVG_SESSION_DURATION[[#This Row],[TOTAL_DURATION]],"hour",":"),"min",""))</f>
        <v>0.6875</v>
      </c>
    </row>
    <row r="25" spans="1:7" x14ac:dyDescent="0.3">
      <c r="A25" s="1">
        <v>45627</v>
      </c>
      <c r="B25" t="s">
        <v>54</v>
      </c>
      <c r="C25" t="s">
        <v>12</v>
      </c>
      <c r="D25" t="s">
        <v>12</v>
      </c>
      <c r="F25" s="9">
        <v>45627</v>
      </c>
      <c r="G25" s="3">
        <f>TIMEVALUE(SUBSTITUTE(SUBSTITUTE(_4__MONTHLY_AVG_SESSION_DURATION[[#This Row],[TOTAL_DURATION]],"hour",":"),"min",""))</f>
        <v>5.555555555556424E-3</v>
      </c>
    </row>
    <row r="26" spans="1:7" x14ac:dyDescent="0.3">
      <c r="A26" s="1">
        <v>45658</v>
      </c>
      <c r="B26" t="s">
        <v>55</v>
      </c>
      <c r="C26" t="s">
        <v>32</v>
      </c>
      <c r="D26" t="s">
        <v>12</v>
      </c>
      <c r="F26" s="9">
        <v>45658</v>
      </c>
      <c r="G26" s="3">
        <f>TIMEVALUE(SUBSTITUTE(SUBSTITUTE(_4__MONTHLY_AVG_SESSION_DURATION[[#This Row],[TOTAL_DURATION]],"hour",":"),"min",""))</f>
        <v>0.43958333333333321</v>
      </c>
    </row>
    <row r="27" spans="1:7" x14ac:dyDescent="0.3">
      <c r="A27" s="1">
        <v>45689</v>
      </c>
      <c r="B27" t="s">
        <v>56</v>
      </c>
      <c r="C27" t="s">
        <v>52</v>
      </c>
      <c r="D27" t="s">
        <v>12</v>
      </c>
      <c r="F27" s="9">
        <v>45689</v>
      </c>
      <c r="G27" s="3">
        <f>TIMEVALUE(SUBSTITUTE(SUBSTITUTE(_4__MONTHLY_AVG_SESSION_DURATION[[#This Row],[TOTAL_DURATION]],"hour",":"),"min",""))</f>
        <v>0.81111111111111089</v>
      </c>
    </row>
    <row r="28" spans="1:7" x14ac:dyDescent="0.3">
      <c r="A28" s="1">
        <v>45717</v>
      </c>
      <c r="B28" t="s">
        <v>57</v>
      </c>
      <c r="C28" t="s">
        <v>58</v>
      </c>
      <c r="D28" t="s">
        <v>12</v>
      </c>
      <c r="F28" s="9">
        <v>45717</v>
      </c>
      <c r="G28" s="3">
        <f>TIMEVALUE(SUBSTITUTE(SUBSTITUTE(_4__MONTHLY_AVG_SESSION_DURATION[[#This Row],[TOTAL_DURATION]],"hour",":"),"min",""))</f>
        <v>0.77222222222222214</v>
      </c>
    </row>
    <row r="29" spans="1:7" x14ac:dyDescent="0.3">
      <c r="A29" s="1">
        <v>45748</v>
      </c>
      <c r="B29" t="s">
        <v>59</v>
      </c>
      <c r="C29" t="s">
        <v>60</v>
      </c>
      <c r="D29" t="s">
        <v>12</v>
      </c>
      <c r="F29" s="9">
        <v>45748</v>
      </c>
      <c r="G29" s="3">
        <f>TIMEVALUE(SUBSTITUTE(SUBSTITUTE(_4__MONTHLY_AVG_SESSION_DURATION[[#This Row],[TOTAL_DURATION]],"hour",":"),"min",""))</f>
        <v>0.72499999999999964</v>
      </c>
    </row>
    <row r="30" spans="1:7" x14ac:dyDescent="0.3">
      <c r="A30" s="1">
        <v>45778</v>
      </c>
      <c r="B30" t="s">
        <v>61</v>
      </c>
      <c r="C30" t="s">
        <v>32</v>
      </c>
      <c r="D30" t="s">
        <v>12</v>
      </c>
      <c r="F30" s="9">
        <v>45778</v>
      </c>
      <c r="G30" s="3">
        <f>TIMEVALUE(SUBSTITUTE(SUBSTITUTE(_4__MONTHLY_AVG_SESSION_DURATION[[#This Row],[TOTAL_DURATION]],"hour",":"),"min",""))</f>
        <v>0.46111111111111036</v>
      </c>
    </row>
    <row r="31" spans="1:7" x14ac:dyDescent="0.3">
      <c r="A31" s="1">
        <v>45809</v>
      </c>
      <c r="B31" t="s">
        <v>62</v>
      </c>
      <c r="C31" t="s">
        <v>26</v>
      </c>
      <c r="D31" t="s">
        <v>12</v>
      </c>
      <c r="F31" s="9">
        <v>45809</v>
      </c>
      <c r="G31" s="3">
        <f>TIMEVALUE(SUBSTITUTE(SUBSTITUTE(_4__MONTHLY_AVG_SESSION_DURATION[[#This Row],[TOTAL_DURATION]],"hour",":"),"min",""))</f>
        <v>0.96875</v>
      </c>
    </row>
    <row r="32" spans="1:7" x14ac:dyDescent="0.3">
      <c r="A32" s="1">
        <v>45839</v>
      </c>
      <c r="B32" t="s">
        <v>63</v>
      </c>
      <c r="C32" t="s">
        <v>64</v>
      </c>
      <c r="D32" t="s">
        <v>12</v>
      </c>
      <c r="F32" s="9">
        <v>45839</v>
      </c>
      <c r="G32" s="3">
        <f>TIMEVALUE(SUBSTITUTE(SUBSTITUTE(_4__MONTHLY_AVG_SESSION_DURATION[[#This Row],[TOTAL_DURATION]],"hour",":"),"min",""))</f>
        <v>0.74097222222222214</v>
      </c>
    </row>
    <row r="33" spans="1:7" x14ac:dyDescent="0.3">
      <c r="A33" s="1">
        <v>45870</v>
      </c>
      <c r="B33" t="s">
        <v>65</v>
      </c>
      <c r="C33" t="s">
        <v>20</v>
      </c>
      <c r="D33" t="s">
        <v>12</v>
      </c>
      <c r="F33" s="9">
        <v>45870</v>
      </c>
      <c r="G33" s="3">
        <f>TIMEVALUE(SUBSTITUTE(SUBSTITUTE(_4__MONTHLY_AVG_SESSION_DURATION[[#This Row],[TOTAL_DURATION]],"hour",":"),"min",""))</f>
        <v>0.39236111111111072</v>
      </c>
    </row>
    <row r="34" spans="1:7" x14ac:dyDescent="0.3">
      <c r="A34" s="1">
        <v>45901</v>
      </c>
      <c r="B34" t="s">
        <v>66</v>
      </c>
      <c r="C34" t="s">
        <v>20</v>
      </c>
      <c r="D34" t="s">
        <v>12</v>
      </c>
      <c r="F34" s="9">
        <v>45901</v>
      </c>
      <c r="G34" s="3">
        <f>TIMEVALUE(SUBSTITUTE(SUBSTITUTE(_4__MONTHLY_AVG_SESSION_DURATION[[#This Row],[TOTAL_DURATION]],"hour",":"),"min",""))</f>
        <v>0.25833333333333286</v>
      </c>
    </row>
    <row r="35" spans="1:7" x14ac:dyDescent="0.3">
      <c r="A35" s="1">
        <v>45931</v>
      </c>
      <c r="B35" t="s">
        <v>67</v>
      </c>
      <c r="C35" t="s">
        <v>38</v>
      </c>
      <c r="D35" t="s">
        <v>12</v>
      </c>
      <c r="F35" s="9">
        <v>45931</v>
      </c>
      <c r="G35" s="3">
        <f>TIMEVALUE(SUBSTITUTE(SUBSTITUTE(_4__MONTHLY_AVG_SESSION_DURATION[[#This Row],[TOTAL_DURATION]],"hour",":"),"min",""))</f>
        <v>0.55138888888888715</v>
      </c>
    </row>
    <row r="36" spans="1:7" x14ac:dyDescent="0.3">
      <c r="A36" s="1">
        <v>45962</v>
      </c>
      <c r="B36" t="s">
        <v>68</v>
      </c>
      <c r="C36" t="s">
        <v>69</v>
      </c>
      <c r="D36" t="s">
        <v>12</v>
      </c>
      <c r="F36" s="9">
        <v>45962</v>
      </c>
      <c r="G36" s="3">
        <f>TIMEVALUE(SUBSTITUTE(SUBSTITUTE(_4__MONTHLY_AVG_SESSION_DURATION[[#This Row],[TOTAL_DURATION]],"hour",":"),"min",""))</f>
        <v>0.22500000000000142</v>
      </c>
    </row>
    <row r="37" spans="1:7" x14ac:dyDescent="0.3">
      <c r="A37" s="1">
        <v>45992</v>
      </c>
      <c r="B37" t="s">
        <v>70</v>
      </c>
      <c r="C37" t="s">
        <v>71</v>
      </c>
      <c r="D37" t="s">
        <v>12</v>
      </c>
      <c r="F37" s="9">
        <v>45992</v>
      </c>
      <c r="G37" s="3">
        <f>TIMEVALUE(SUBSTITUTE(SUBSTITUTE(_4__MONTHLY_AVG_SESSION_DURATION[[#This Row],[TOTAL_DURATION]],"hour",":"),"min",""))</f>
        <v>0.28402777777777644</v>
      </c>
    </row>
    <row r="38" spans="1:7" x14ac:dyDescent="0.3">
      <c r="A38" s="1">
        <v>46023</v>
      </c>
      <c r="B38" t="s">
        <v>72</v>
      </c>
      <c r="C38" t="s">
        <v>20</v>
      </c>
      <c r="D38" t="s">
        <v>12</v>
      </c>
      <c r="F38" s="9">
        <v>46023</v>
      </c>
      <c r="G38" s="3">
        <f>TIMEVALUE(SUBSTITUTE(SUBSTITUTE(_4__MONTHLY_AVG_SESSION_DURATION[[#This Row],[TOTAL_DURATION]],"hour",":"),"min",""))</f>
        <v>0.71666666666666501</v>
      </c>
    </row>
    <row r="39" spans="1:7" x14ac:dyDescent="0.3">
      <c r="A39" s="1">
        <v>46054</v>
      </c>
      <c r="B39" t="s">
        <v>73</v>
      </c>
      <c r="C39" t="s">
        <v>74</v>
      </c>
      <c r="D39" t="s">
        <v>12</v>
      </c>
      <c r="F39" s="9">
        <v>46054</v>
      </c>
      <c r="G39" s="3">
        <f>TIMEVALUE(SUBSTITUTE(SUBSTITUTE(_4__MONTHLY_AVG_SESSION_DURATION[[#This Row],[TOTAL_DURATION]],"hour",":"),"min",""))</f>
        <v>0.68333333333333357</v>
      </c>
    </row>
    <row r="40" spans="1:7" x14ac:dyDescent="0.3">
      <c r="A40" s="1">
        <v>46082</v>
      </c>
      <c r="B40" t="s">
        <v>75</v>
      </c>
      <c r="C40" t="s">
        <v>74</v>
      </c>
      <c r="D40" t="s">
        <v>12</v>
      </c>
      <c r="F40" s="9">
        <v>46082</v>
      </c>
      <c r="G40" s="3">
        <f>TIMEVALUE(SUBSTITUTE(SUBSTITUTE(_4__MONTHLY_AVG_SESSION_DURATION[[#This Row],[TOTAL_DURATION]],"hour",":"),"min",""))</f>
        <v>7.6388888888889284E-2</v>
      </c>
    </row>
    <row r="41" spans="1:7" x14ac:dyDescent="0.3">
      <c r="A41" s="1">
        <v>46113</v>
      </c>
      <c r="B41" t="s">
        <v>76</v>
      </c>
      <c r="C41" t="s">
        <v>77</v>
      </c>
      <c r="D41" t="s">
        <v>12</v>
      </c>
      <c r="F41" s="9">
        <v>46113</v>
      </c>
      <c r="G41" s="3">
        <f>TIMEVALUE(SUBSTITUTE(SUBSTITUTE(_4__MONTHLY_AVG_SESSION_DURATION[[#This Row],[TOTAL_DURATION]],"hour",":"),"min",""))</f>
        <v>0.99097222222222214</v>
      </c>
    </row>
    <row r="42" spans="1:7" x14ac:dyDescent="0.3">
      <c r="A42" s="1">
        <v>46143</v>
      </c>
      <c r="B42" t="s">
        <v>78</v>
      </c>
      <c r="C42" t="s">
        <v>26</v>
      </c>
      <c r="D42" t="s">
        <v>12</v>
      </c>
      <c r="F42" s="9">
        <v>46143</v>
      </c>
      <c r="G42" s="3">
        <f>TIMEVALUE(SUBSTITUTE(SUBSTITUTE(_4__MONTHLY_AVG_SESSION_DURATION[[#This Row],[TOTAL_DURATION]],"hour",":"),"min",""))</f>
        <v>0.74236111111110858</v>
      </c>
    </row>
    <row r="43" spans="1:7" x14ac:dyDescent="0.3">
      <c r="A43" s="1">
        <v>46174</v>
      </c>
      <c r="B43" t="s">
        <v>79</v>
      </c>
      <c r="C43" t="s">
        <v>32</v>
      </c>
      <c r="D43" t="s">
        <v>12</v>
      </c>
      <c r="F43" s="9">
        <v>46174</v>
      </c>
      <c r="G43" s="3">
        <f>TIMEVALUE(SUBSTITUTE(SUBSTITUTE(_4__MONTHLY_AVG_SESSION_DURATION[[#This Row],[TOTAL_DURATION]],"hour",":"),"min",""))</f>
        <v>0.59861111111111143</v>
      </c>
    </row>
    <row r="44" spans="1:7" x14ac:dyDescent="0.3">
      <c r="A44" s="1">
        <v>46204</v>
      </c>
      <c r="B44" t="s">
        <v>80</v>
      </c>
      <c r="C44" t="s">
        <v>36</v>
      </c>
      <c r="D44" t="s">
        <v>12</v>
      </c>
      <c r="F44" s="9">
        <v>46204</v>
      </c>
      <c r="G44" s="3">
        <f>TIMEVALUE(SUBSTITUTE(SUBSTITUTE(_4__MONTHLY_AVG_SESSION_DURATION[[#This Row],[TOTAL_DURATION]],"hour",":"),"min",""))</f>
        <v>0.28333333333333321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E3F8B-6A9B-4B78-86E3-FFC945EF2D2F}">
  <dimension ref="A1:K1082"/>
  <sheetViews>
    <sheetView workbookViewId="0">
      <selection activeCell="L21" sqref="L21"/>
    </sheetView>
  </sheetViews>
  <sheetFormatPr defaultRowHeight="14.4" x14ac:dyDescent="0.3"/>
  <cols>
    <col min="1" max="1" width="14" bestFit="1" customWidth="1"/>
    <col min="2" max="2" width="14.6640625" bestFit="1" customWidth="1"/>
    <col min="3" max="3" width="19" bestFit="1" customWidth="1"/>
    <col min="4" max="4" width="17.33203125" bestFit="1" customWidth="1"/>
    <col min="5" max="5" width="20.33203125" bestFit="1" customWidth="1"/>
    <col min="6" max="6" width="17.88671875" bestFit="1" customWidth="1"/>
    <col min="7" max="7" width="18" bestFit="1" customWidth="1"/>
    <col min="10" max="10" width="9.6640625" bestFit="1" customWidth="1"/>
    <col min="11" max="11" width="21.5546875" bestFit="1" customWidth="1"/>
    <col min="12" max="12" width="25.88671875" bestFit="1" customWidth="1"/>
    <col min="13" max="13" width="24.109375" bestFit="1" customWidth="1"/>
    <col min="14" max="14" width="27.109375" bestFit="1" customWidth="1"/>
    <col min="15" max="15" width="24.6640625" bestFit="1" customWidth="1"/>
    <col min="16" max="16" width="17.44140625" bestFit="1" customWidth="1"/>
  </cols>
  <sheetData>
    <row r="1" spans="1:11" x14ac:dyDescent="0.3">
      <c r="A1" t="s">
        <v>81</v>
      </c>
      <c r="B1" t="s">
        <v>1</v>
      </c>
      <c r="C1" t="s">
        <v>82</v>
      </c>
      <c r="D1" t="s">
        <v>83</v>
      </c>
      <c r="E1" t="s">
        <v>5</v>
      </c>
      <c r="F1" t="s">
        <v>84</v>
      </c>
      <c r="G1" t="s">
        <v>7</v>
      </c>
      <c r="H1" t="s">
        <v>955</v>
      </c>
    </row>
    <row r="2" spans="1:11" x14ac:dyDescent="0.3">
      <c r="A2" s="1">
        <v>44948</v>
      </c>
      <c r="B2">
        <v>1</v>
      </c>
      <c r="C2">
        <v>1</v>
      </c>
      <c r="D2">
        <v>4</v>
      </c>
      <c r="E2">
        <v>1002</v>
      </c>
      <c r="F2">
        <v>1</v>
      </c>
      <c r="G2" t="s">
        <v>85</v>
      </c>
      <c r="H2">
        <f>TIMEVALUE(SUBSTITUTE(SUBSTITUTE(_5__DAILY_USAGE_TREND[[#This Row],[TOTAL_DURATION]],"hour",":"),"min",""))</f>
        <v>0.59722222222222221</v>
      </c>
    </row>
    <row r="3" spans="1:11" x14ac:dyDescent="0.3">
      <c r="A3" s="1">
        <v>44951</v>
      </c>
      <c r="B3">
        <v>1</v>
      </c>
      <c r="C3">
        <v>1</v>
      </c>
      <c r="D3">
        <v>2</v>
      </c>
      <c r="E3">
        <v>878</v>
      </c>
      <c r="F3">
        <v>1</v>
      </c>
      <c r="G3" t="s">
        <v>86</v>
      </c>
      <c r="H3">
        <f>TIMEVALUE(SUBSTITUTE(SUBSTITUTE(_5__DAILY_USAGE_TREND[[#This Row],[TOTAL_DURATION]],"hour",":"),"min",""))</f>
        <v>0.44861111111111113</v>
      </c>
    </row>
    <row r="4" spans="1:11" x14ac:dyDescent="0.3">
      <c r="A4" s="1">
        <v>44958</v>
      </c>
      <c r="B4">
        <v>1</v>
      </c>
      <c r="C4">
        <v>1</v>
      </c>
      <c r="D4">
        <v>2</v>
      </c>
      <c r="E4">
        <v>299</v>
      </c>
      <c r="F4">
        <v>1</v>
      </c>
      <c r="G4" t="s">
        <v>87</v>
      </c>
      <c r="H4">
        <f>TIMEVALUE(SUBSTITUTE(SUBSTITUTE(_5__DAILY_USAGE_TREND[[#This Row],[TOTAL_DURATION]],"hour",":"),"min",""))</f>
        <v>0.52222222222222225</v>
      </c>
      <c r="J4" s="15" t="s">
        <v>949</v>
      </c>
      <c r="K4" s="16">
        <f>AVERAGE(_5__DAILY_USAGE_TREND[TOTAL_USERS])</f>
        <v>5.957446808510638</v>
      </c>
    </row>
    <row r="5" spans="1:11" x14ac:dyDescent="0.3">
      <c r="A5" s="1">
        <v>44959</v>
      </c>
      <c r="B5">
        <v>2</v>
      </c>
      <c r="C5">
        <v>2</v>
      </c>
      <c r="D5">
        <v>3</v>
      </c>
      <c r="E5">
        <v>901</v>
      </c>
      <c r="F5">
        <v>2</v>
      </c>
      <c r="G5" t="s">
        <v>88</v>
      </c>
      <c r="H5">
        <f>TIMEVALUE(SUBSTITUTE(SUBSTITUTE(_5__DAILY_USAGE_TREND[[#This Row],[TOTAL_DURATION]],"hour",":"),"min",""))</f>
        <v>0.27083333333333331</v>
      </c>
      <c r="J5" s="16" t="s">
        <v>950</v>
      </c>
      <c r="K5" s="16">
        <f>AVERAGE(_5__DAILY_USAGE_TREND[TOTAL_TOOL_USED])</f>
        <v>3.9602220166512487</v>
      </c>
    </row>
    <row r="6" spans="1:11" x14ac:dyDescent="0.3">
      <c r="A6" s="1">
        <v>44961</v>
      </c>
      <c r="B6">
        <v>1</v>
      </c>
      <c r="C6">
        <v>1</v>
      </c>
      <c r="D6">
        <v>1</v>
      </c>
      <c r="E6">
        <v>164</v>
      </c>
      <c r="F6">
        <v>1</v>
      </c>
      <c r="G6" t="s">
        <v>89</v>
      </c>
      <c r="H6">
        <f>TIMEVALUE(SUBSTITUTE(SUBSTITUTE(_5__DAILY_USAGE_TREND[[#This Row],[TOTAL_DURATION]],"hour",":"),"min",""))</f>
        <v>8.3333333333333332E-3</v>
      </c>
      <c r="J6" s="15" t="s">
        <v>951</v>
      </c>
      <c r="K6" s="16">
        <f>AVERAGE(_5__DAILY_USAGE_TREND[TOTAL_PROMPTS])</f>
        <v>13.876040703052729</v>
      </c>
    </row>
    <row r="7" spans="1:11" x14ac:dyDescent="0.3">
      <c r="A7" s="1">
        <v>44966</v>
      </c>
      <c r="B7">
        <v>1</v>
      </c>
      <c r="C7">
        <v>1</v>
      </c>
      <c r="D7">
        <v>2</v>
      </c>
      <c r="E7">
        <v>515</v>
      </c>
      <c r="F7">
        <v>1</v>
      </c>
      <c r="G7" t="s">
        <v>50</v>
      </c>
      <c r="H7">
        <f>TIMEVALUE(SUBSTITUTE(SUBSTITUTE(_5__DAILY_USAGE_TREND[[#This Row],[TOTAL_DURATION]],"hour",":"),"min",""))</f>
        <v>5.5555555555555552E-2</v>
      </c>
      <c r="J7" s="15" t="s">
        <v>952</v>
      </c>
      <c r="K7" s="16">
        <f>AVERAGE(_5__DAILY_USAGE_TREND[TOTAL_TOKEN_USED])</f>
        <v>4993.7539315448657</v>
      </c>
    </row>
    <row r="8" spans="1:11" x14ac:dyDescent="0.3">
      <c r="A8" s="1">
        <v>44975</v>
      </c>
      <c r="B8">
        <v>1</v>
      </c>
      <c r="C8">
        <v>1</v>
      </c>
      <c r="D8">
        <v>4</v>
      </c>
      <c r="E8">
        <v>1433</v>
      </c>
      <c r="F8">
        <v>1</v>
      </c>
      <c r="G8" t="s">
        <v>90</v>
      </c>
      <c r="H8">
        <f>TIMEVALUE(SUBSTITUTE(SUBSTITUTE(_5__DAILY_USAGE_TREND[[#This Row],[TOTAL_DURATION]],"hour",":"),"min",""))</f>
        <v>0.16388888888888889</v>
      </c>
      <c r="J8" s="15" t="s">
        <v>953</v>
      </c>
      <c r="K8" s="15">
        <f>AVERAGE(_5__DAILY_USAGE_TREND[TOTAL_SESSIONS])</f>
        <v>6</v>
      </c>
    </row>
    <row r="9" spans="1:11" x14ac:dyDescent="0.3">
      <c r="A9" s="1">
        <v>44981</v>
      </c>
      <c r="B9">
        <v>1</v>
      </c>
      <c r="C9">
        <v>1</v>
      </c>
      <c r="D9">
        <v>1</v>
      </c>
      <c r="E9">
        <v>690</v>
      </c>
      <c r="F9">
        <v>1</v>
      </c>
      <c r="G9" t="s">
        <v>91</v>
      </c>
      <c r="H9">
        <f>TIMEVALUE(SUBSTITUTE(SUBSTITUTE(_5__DAILY_USAGE_TREND[[#This Row],[TOTAL_DURATION]],"hour",":"),"min",""))</f>
        <v>1.3194444444444444E-2</v>
      </c>
      <c r="J9" s="15" t="s">
        <v>954</v>
      </c>
      <c r="K9" s="18">
        <f>AVERAGE(_5__DAILY_USAGE_TREND[Column1])</f>
        <v>0.37850755473327147</v>
      </c>
    </row>
    <row r="10" spans="1:11" x14ac:dyDescent="0.3">
      <c r="A10" s="1">
        <v>44985</v>
      </c>
      <c r="B10">
        <v>1</v>
      </c>
      <c r="C10">
        <v>1</v>
      </c>
      <c r="D10">
        <v>2</v>
      </c>
      <c r="E10">
        <v>418</v>
      </c>
      <c r="F10">
        <v>1</v>
      </c>
      <c r="G10" t="s">
        <v>89</v>
      </c>
      <c r="H10">
        <f>TIMEVALUE(SUBSTITUTE(SUBSTITUTE(_5__DAILY_USAGE_TREND[[#This Row],[TOTAL_DURATION]],"hour",":"),"min",""))</f>
        <v>8.3333333333333332E-3</v>
      </c>
    </row>
    <row r="11" spans="1:11" x14ac:dyDescent="0.3">
      <c r="A11" s="1">
        <v>44997</v>
      </c>
      <c r="B11">
        <v>1</v>
      </c>
      <c r="C11">
        <v>1</v>
      </c>
      <c r="D11">
        <v>3</v>
      </c>
      <c r="E11">
        <v>1082</v>
      </c>
      <c r="F11">
        <v>1</v>
      </c>
      <c r="G11" t="s">
        <v>92</v>
      </c>
      <c r="H11">
        <f>TIMEVALUE(SUBSTITUTE(SUBSTITUTE(_5__DAILY_USAGE_TREND[[#This Row],[TOTAL_DURATION]],"hour",":"),"min",""))</f>
        <v>7.4999999999999997E-2</v>
      </c>
    </row>
    <row r="12" spans="1:11" x14ac:dyDescent="0.3">
      <c r="A12" s="1">
        <v>45000</v>
      </c>
      <c r="B12">
        <v>1</v>
      </c>
      <c r="C12">
        <v>1</v>
      </c>
      <c r="D12">
        <v>1</v>
      </c>
      <c r="E12">
        <v>379</v>
      </c>
      <c r="F12">
        <v>1</v>
      </c>
      <c r="G12" t="s">
        <v>93</v>
      </c>
      <c r="H12">
        <f>TIMEVALUE(SUBSTITUTE(SUBSTITUTE(_5__DAILY_USAGE_TREND[[#This Row],[TOTAL_DURATION]],"hour",":"),"min",""))</f>
        <v>3.8194444444444448E-2</v>
      </c>
    </row>
    <row r="13" spans="1:11" x14ac:dyDescent="0.3">
      <c r="A13" s="1">
        <v>45005</v>
      </c>
      <c r="B13">
        <v>1</v>
      </c>
      <c r="C13">
        <v>1</v>
      </c>
      <c r="D13">
        <v>3</v>
      </c>
      <c r="E13">
        <v>778</v>
      </c>
      <c r="F13">
        <v>1</v>
      </c>
      <c r="G13" t="s">
        <v>94</v>
      </c>
      <c r="H13">
        <f>TIMEVALUE(SUBSTITUTE(SUBSTITUTE(_5__DAILY_USAGE_TREND[[#This Row],[TOTAL_DURATION]],"hour",":"),"min",""))</f>
        <v>0.14583333333333334</v>
      </c>
    </row>
    <row r="14" spans="1:11" x14ac:dyDescent="0.3">
      <c r="A14" s="1">
        <v>45006</v>
      </c>
      <c r="B14">
        <v>1</v>
      </c>
      <c r="C14">
        <v>1</v>
      </c>
      <c r="D14">
        <v>1</v>
      </c>
      <c r="E14">
        <v>501</v>
      </c>
      <c r="F14">
        <v>1</v>
      </c>
      <c r="G14" t="s">
        <v>95</v>
      </c>
      <c r="H14">
        <f>TIMEVALUE(SUBSTITUTE(SUBSTITUTE(_5__DAILY_USAGE_TREND[[#This Row],[TOTAL_DURATION]],"hour",":"),"min",""))</f>
        <v>2.9861111111111113E-2</v>
      </c>
    </row>
    <row r="15" spans="1:11" x14ac:dyDescent="0.3">
      <c r="A15" s="1">
        <v>45008</v>
      </c>
      <c r="B15">
        <v>1</v>
      </c>
      <c r="C15">
        <v>1</v>
      </c>
      <c r="D15">
        <v>2</v>
      </c>
      <c r="E15">
        <v>661</v>
      </c>
      <c r="F15">
        <v>1</v>
      </c>
      <c r="G15" t="s">
        <v>96</v>
      </c>
      <c r="H15">
        <f>TIMEVALUE(SUBSTITUTE(SUBSTITUTE(_5__DAILY_USAGE_TREND[[#This Row],[TOTAL_DURATION]],"hour",":"),"min",""))</f>
        <v>0.43333333333333335</v>
      </c>
    </row>
    <row r="16" spans="1:11" x14ac:dyDescent="0.3">
      <c r="A16" s="1">
        <v>45009</v>
      </c>
      <c r="B16">
        <v>1</v>
      </c>
      <c r="C16">
        <v>1</v>
      </c>
      <c r="D16">
        <v>1</v>
      </c>
      <c r="E16">
        <v>630</v>
      </c>
      <c r="F16">
        <v>1</v>
      </c>
      <c r="G16" t="s">
        <v>97</v>
      </c>
      <c r="H16">
        <f>TIMEVALUE(SUBSTITUTE(SUBSTITUTE(_5__DAILY_USAGE_TREND[[#This Row],[TOTAL_DURATION]],"hour",":"),"min",""))</f>
        <v>0.30763888888888891</v>
      </c>
    </row>
    <row r="17" spans="1:8" x14ac:dyDescent="0.3">
      <c r="A17" s="1">
        <v>45010</v>
      </c>
      <c r="B17">
        <v>1</v>
      </c>
      <c r="C17">
        <v>1</v>
      </c>
      <c r="D17">
        <v>2</v>
      </c>
      <c r="E17">
        <v>533</v>
      </c>
      <c r="F17">
        <v>1</v>
      </c>
      <c r="G17" t="s">
        <v>92</v>
      </c>
      <c r="H17">
        <f>TIMEVALUE(SUBSTITUTE(SUBSTITUTE(_5__DAILY_USAGE_TREND[[#This Row],[TOTAL_DURATION]],"hour",":"),"min",""))</f>
        <v>7.4999999999999997E-2</v>
      </c>
    </row>
    <row r="18" spans="1:8" x14ac:dyDescent="0.3">
      <c r="A18" s="1">
        <v>45011</v>
      </c>
      <c r="B18">
        <v>1</v>
      </c>
      <c r="C18">
        <v>1</v>
      </c>
      <c r="D18">
        <v>1</v>
      </c>
      <c r="E18">
        <v>307</v>
      </c>
      <c r="F18">
        <v>1</v>
      </c>
      <c r="G18" t="s">
        <v>89</v>
      </c>
      <c r="H18">
        <f>TIMEVALUE(SUBSTITUTE(SUBSTITUTE(_5__DAILY_USAGE_TREND[[#This Row],[TOTAL_DURATION]],"hour",":"),"min",""))</f>
        <v>8.3333333333333332E-3</v>
      </c>
    </row>
    <row r="19" spans="1:8" x14ac:dyDescent="0.3">
      <c r="A19" s="1">
        <v>45012</v>
      </c>
      <c r="B19">
        <v>1</v>
      </c>
      <c r="C19">
        <v>1</v>
      </c>
      <c r="D19">
        <v>2</v>
      </c>
      <c r="E19">
        <v>732</v>
      </c>
      <c r="F19">
        <v>1</v>
      </c>
      <c r="G19" t="s">
        <v>98</v>
      </c>
      <c r="H19">
        <f>TIMEVALUE(SUBSTITUTE(SUBSTITUTE(_5__DAILY_USAGE_TREND[[#This Row],[TOTAL_DURATION]],"hour",":"),"min",""))</f>
        <v>9.166666666666666E-2</v>
      </c>
    </row>
    <row r="20" spans="1:8" x14ac:dyDescent="0.3">
      <c r="A20" s="1">
        <v>45017</v>
      </c>
      <c r="B20">
        <v>1</v>
      </c>
      <c r="C20">
        <v>1</v>
      </c>
      <c r="D20">
        <v>2</v>
      </c>
      <c r="E20">
        <v>695</v>
      </c>
      <c r="F20">
        <v>1</v>
      </c>
      <c r="G20" t="s">
        <v>99</v>
      </c>
      <c r="H20">
        <f>TIMEVALUE(SUBSTITUTE(SUBSTITUTE(_5__DAILY_USAGE_TREND[[#This Row],[TOTAL_DURATION]],"hour",":"),"min",""))</f>
        <v>9.7222222222222224E-3</v>
      </c>
    </row>
    <row r="21" spans="1:8" x14ac:dyDescent="0.3">
      <c r="A21" s="1">
        <v>45020</v>
      </c>
      <c r="B21">
        <v>1</v>
      </c>
      <c r="C21">
        <v>1</v>
      </c>
      <c r="D21">
        <v>4</v>
      </c>
      <c r="E21">
        <v>1180</v>
      </c>
      <c r="F21">
        <v>1</v>
      </c>
      <c r="G21" t="s">
        <v>100</v>
      </c>
      <c r="H21">
        <f>TIMEVALUE(SUBSTITUTE(SUBSTITUTE(_5__DAILY_USAGE_TREND[[#This Row],[TOTAL_DURATION]],"hour",":"),"min",""))</f>
        <v>2.2222222222222223E-2</v>
      </c>
    </row>
    <row r="22" spans="1:8" x14ac:dyDescent="0.3">
      <c r="A22" s="1">
        <v>45021</v>
      </c>
      <c r="B22">
        <v>1</v>
      </c>
      <c r="C22">
        <v>1</v>
      </c>
      <c r="D22">
        <v>3</v>
      </c>
      <c r="E22">
        <v>947</v>
      </c>
      <c r="F22">
        <v>1</v>
      </c>
      <c r="G22" t="s">
        <v>101</v>
      </c>
      <c r="H22">
        <f>TIMEVALUE(SUBSTITUTE(SUBSTITUTE(_5__DAILY_USAGE_TREND[[#This Row],[TOTAL_DURATION]],"hour",":"),"min",""))</f>
        <v>0.24583333333333332</v>
      </c>
    </row>
    <row r="23" spans="1:8" x14ac:dyDescent="0.3">
      <c r="A23" s="1">
        <v>45025</v>
      </c>
      <c r="B23">
        <v>2</v>
      </c>
      <c r="C23">
        <v>2</v>
      </c>
      <c r="D23">
        <v>5</v>
      </c>
      <c r="E23">
        <v>2181</v>
      </c>
      <c r="F23">
        <v>2</v>
      </c>
      <c r="G23" t="s">
        <v>102</v>
      </c>
      <c r="H23">
        <f>TIMEVALUE(SUBSTITUTE(SUBSTITUTE(_5__DAILY_USAGE_TREND[[#This Row],[TOTAL_DURATION]],"hour",":"),"min",""))</f>
        <v>0.48680555555555555</v>
      </c>
    </row>
    <row r="24" spans="1:8" x14ac:dyDescent="0.3">
      <c r="A24" s="1">
        <v>45027</v>
      </c>
      <c r="B24">
        <v>2</v>
      </c>
      <c r="C24">
        <v>2</v>
      </c>
      <c r="D24">
        <v>4</v>
      </c>
      <c r="E24">
        <v>1902</v>
      </c>
      <c r="F24">
        <v>2</v>
      </c>
      <c r="G24" t="s">
        <v>103</v>
      </c>
      <c r="H24">
        <f>TIMEVALUE(SUBSTITUTE(SUBSTITUTE(_5__DAILY_USAGE_TREND[[#This Row],[TOTAL_DURATION]],"hour",":"),"min",""))</f>
        <v>0.50138888888888888</v>
      </c>
    </row>
    <row r="25" spans="1:8" x14ac:dyDescent="0.3">
      <c r="A25" s="1">
        <v>45028</v>
      </c>
      <c r="B25">
        <v>1</v>
      </c>
      <c r="C25">
        <v>1</v>
      </c>
      <c r="D25">
        <v>2</v>
      </c>
      <c r="E25">
        <v>901</v>
      </c>
      <c r="F25">
        <v>1</v>
      </c>
      <c r="G25" t="s">
        <v>104</v>
      </c>
      <c r="H25">
        <f>TIMEVALUE(SUBSTITUTE(SUBSTITUTE(_5__DAILY_USAGE_TREND[[#This Row],[TOTAL_DURATION]],"hour",":"),"min",""))</f>
        <v>0.15416666666666667</v>
      </c>
    </row>
    <row r="26" spans="1:8" x14ac:dyDescent="0.3">
      <c r="A26" s="1">
        <v>45030</v>
      </c>
      <c r="B26">
        <v>1</v>
      </c>
      <c r="C26">
        <v>1</v>
      </c>
      <c r="D26">
        <v>1</v>
      </c>
      <c r="E26">
        <v>790</v>
      </c>
      <c r="F26">
        <v>1</v>
      </c>
      <c r="G26" t="s">
        <v>89</v>
      </c>
      <c r="H26">
        <f>TIMEVALUE(SUBSTITUTE(SUBSTITUTE(_5__DAILY_USAGE_TREND[[#This Row],[TOTAL_DURATION]],"hour",":"),"min",""))</f>
        <v>8.3333333333333332E-3</v>
      </c>
    </row>
    <row r="27" spans="1:8" x14ac:dyDescent="0.3">
      <c r="A27" s="1">
        <v>45033</v>
      </c>
      <c r="B27">
        <v>1</v>
      </c>
      <c r="C27">
        <v>1</v>
      </c>
      <c r="D27">
        <v>2</v>
      </c>
      <c r="E27">
        <v>605</v>
      </c>
      <c r="F27">
        <v>1</v>
      </c>
      <c r="G27" t="s">
        <v>105</v>
      </c>
      <c r="H27">
        <f>TIMEVALUE(SUBSTITUTE(SUBSTITUTE(_5__DAILY_USAGE_TREND[[#This Row],[TOTAL_DURATION]],"hour",":"),"min",""))</f>
        <v>9.583333333333334E-2</v>
      </c>
    </row>
    <row r="28" spans="1:8" x14ac:dyDescent="0.3">
      <c r="A28" s="1">
        <v>45034</v>
      </c>
      <c r="B28">
        <v>3</v>
      </c>
      <c r="C28">
        <v>2</v>
      </c>
      <c r="D28">
        <v>6</v>
      </c>
      <c r="E28">
        <v>2384</v>
      </c>
      <c r="F28">
        <v>3</v>
      </c>
      <c r="G28" t="s">
        <v>106</v>
      </c>
      <c r="H28">
        <f>TIMEVALUE(SUBSTITUTE(SUBSTITUTE(_5__DAILY_USAGE_TREND[[#This Row],[TOTAL_DURATION]],"hour",":"),"min",""))</f>
        <v>0.4597222222222222</v>
      </c>
    </row>
    <row r="29" spans="1:8" x14ac:dyDescent="0.3">
      <c r="A29" s="1">
        <v>45035</v>
      </c>
      <c r="B29">
        <v>1</v>
      </c>
      <c r="C29">
        <v>2</v>
      </c>
      <c r="D29">
        <v>7</v>
      </c>
      <c r="E29">
        <v>1729</v>
      </c>
      <c r="F29">
        <v>2</v>
      </c>
      <c r="G29" t="s">
        <v>107</v>
      </c>
      <c r="H29">
        <f>TIMEVALUE(SUBSTITUTE(SUBSTITUTE(_5__DAILY_USAGE_TREND[[#This Row],[TOTAL_DURATION]],"hour",":"),"min",""))</f>
        <v>0.29236111111111113</v>
      </c>
    </row>
    <row r="30" spans="1:8" x14ac:dyDescent="0.3">
      <c r="A30" s="1">
        <v>45037</v>
      </c>
      <c r="B30">
        <v>1</v>
      </c>
      <c r="C30">
        <v>1</v>
      </c>
      <c r="D30">
        <v>3</v>
      </c>
      <c r="E30">
        <v>812</v>
      </c>
      <c r="F30">
        <v>1</v>
      </c>
      <c r="G30" t="s">
        <v>108</v>
      </c>
      <c r="H30">
        <f>TIMEVALUE(SUBSTITUTE(SUBSTITUTE(_5__DAILY_USAGE_TREND[[#This Row],[TOTAL_DURATION]],"hour",":"),"min",""))</f>
        <v>1.6666666666666666E-2</v>
      </c>
    </row>
    <row r="31" spans="1:8" x14ac:dyDescent="0.3">
      <c r="A31" s="1">
        <v>45038</v>
      </c>
      <c r="B31">
        <v>1</v>
      </c>
      <c r="C31">
        <v>1</v>
      </c>
      <c r="D31">
        <v>4</v>
      </c>
      <c r="E31">
        <v>1830</v>
      </c>
      <c r="F31">
        <v>1</v>
      </c>
      <c r="G31" t="s">
        <v>109</v>
      </c>
      <c r="H31">
        <f>TIMEVALUE(SUBSTITUTE(SUBSTITUTE(_5__DAILY_USAGE_TREND[[#This Row],[TOTAL_DURATION]],"hour",":"),"min",""))</f>
        <v>0.2</v>
      </c>
    </row>
    <row r="32" spans="1:8" x14ac:dyDescent="0.3">
      <c r="A32" s="1">
        <v>45040</v>
      </c>
      <c r="B32">
        <v>1</v>
      </c>
      <c r="C32">
        <v>1</v>
      </c>
      <c r="D32">
        <v>2</v>
      </c>
      <c r="E32">
        <v>777</v>
      </c>
      <c r="F32">
        <v>1</v>
      </c>
      <c r="G32" t="s">
        <v>92</v>
      </c>
      <c r="H32">
        <f>TIMEVALUE(SUBSTITUTE(SUBSTITUTE(_5__DAILY_USAGE_TREND[[#This Row],[TOTAL_DURATION]],"hour",":"),"min",""))</f>
        <v>7.4999999999999997E-2</v>
      </c>
    </row>
    <row r="33" spans="1:8" x14ac:dyDescent="0.3">
      <c r="A33" s="1">
        <v>45041</v>
      </c>
      <c r="B33">
        <v>1</v>
      </c>
      <c r="C33">
        <v>1</v>
      </c>
      <c r="D33">
        <v>3</v>
      </c>
      <c r="E33">
        <v>1127</v>
      </c>
      <c r="F33">
        <v>1</v>
      </c>
      <c r="G33" t="s">
        <v>110</v>
      </c>
      <c r="H33">
        <f>TIMEVALUE(SUBSTITUTE(SUBSTITUTE(_5__DAILY_USAGE_TREND[[#This Row],[TOTAL_DURATION]],"hour",":"),"min",""))</f>
        <v>0.5</v>
      </c>
    </row>
    <row r="34" spans="1:8" x14ac:dyDescent="0.3">
      <c r="A34" s="1">
        <v>45044</v>
      </c>
      <c r="B34">
        <v>2</v>
      </c>
      <c r="C34">
        <v>2</v>
      </c>
      <c r="D34">
        <v>4</v>
      </c>
      <c r="E34">
        <v>858</v>
      </c>
      <c r="F34">
        <v>2</v>
      </c>
      <c r="G34" t="s">
        <v>111</v>
      </c>
      <c r="H34">
        <f>TIMEVALUE(SUBSTITUTE(SUBSTITUTE(_5__DAILY_USAGE_TREND[[#This Row],[TOTAL_DURATION]],"hour",":"),"min",""))</f>
        <v>0.64583333333333337</v>
      </c>
    </row>
    <row r="35" spans="1:8" x14ac:dyDescent="0.3">
      <c r="A35" s="1">
        <v>45048</v>
      </c>
      <c r="B35">
        <v>1</v>
      </c>
      <c r="C35">
        <v>1</v>
      </c>
      <c r="D35">
        <v>2</v>
      </c>
      <c r="E35">
        <v>880</v>
      </c>
      <c r="F35">
        <v>1</v>
      </c>
      <c r="G35" t="s">
        <v>105</v>
      </c>
      <c r="H35">
        <f>TIMEVALUE(SUBSTITUTE(SUBSTITUTE(_5__DAILY_USAGE_TREND[[#This Row],[TOTAL_DURATION]],"hour",":"),"min",""))</f>
        <v>9.583333333333334E-2</v>
      </c>
    </row>
    <row r="36" spans="1:8" x14ac:dyDescent="0.3">
      <c r="A36" s="1">
        <v>45049</v>
      </c>
      <c r="B36">
        <v>2</v>
      </c>
      <c r="C36">
        <v>2</v>
      </c>
      <c r="D36">
        <v>4</v>
      </c>
      <c r="E36">
        <v>938</v>
      </c>
      <c r="F36">
        <v>2</v>
      </c>
      <c r="G36" t="s">
        <v>112</v>
      </c>
      <c r="H36">
        <f>TIMEVALUE(SUBSTITUTE(SUBSTITUTE(_5__DAILY_USAGE_TREND[[#This Row],[TOTAL_DURATION]],"hour",":"),"min",""))</f>
        <v>0.34583333333333333</v>
      </c>
    </row>
    <row r="37" spans="1:8" x14ac:dyDescent="0.3">
      <c r="A37" s="1">
        <v>45050</v>
      </c>
      <c r="B37">
        <v>1</v>
      </c>
      <c r="C37">
        <v>1</v>
      </c>
      <c r="D37">
        <v>1</v>
      </c>
      <c r="E37">
        <v>487</v>
      </c>
      <c r="F37">
        <v>1</v>
      </c>
      <c r="G37" t="s">
        <v>113</v>
      </c>
      <c r="H37">
        <f>TIMEVALUE(SUBSTITUTE(SUBSTITUTE(_5__DAILY_USAGE_TREND[[#This Row],[TOTAL_DURATION]],"hour",":"),"min",""))</f>
        <v>7.6388888888888886E-3</v>
      </c>
    </row>
    <row r="38" spans="1:8" x14ac:dyDescent="0.3">
      <c r="A38" s="1">
        <v>45051</v>
      </c>
      <c r="B38">
        <v>1</v>
      </c>
      <c r="C38">
        <v>1</v>
      </c>
      <c r="D38">
        <v>3</v>
      </c>
      <c r="E38">
        <v>570</v>
      </c>
      <c r="F38">
        <v>1</v>
      </c>
      <c r="G38" t="s">
        <v>98</v>
      </c>
      <c r="H38">
        <f>TIMEVALUE(SUBSTITUTE(SUBSTITUTE(_5__DAILY_USAGE_TREND[[#This Row],[TOTAL_DURATION]],"hour",":"),"min",""))</f>
        <v>9.166666666666666E-2</v>
      </c>
    </row>
    <row r="39" spans="1:8" x14ac:dyDescent="0.3">
      <c r="A39" s="1">
        <v>45052</v>
      </c>
      <c r="B39">
        <v>1</v>
      </c>
      <c r="C39">
        <v>1</v>
      </c>
      <c r="D39">
        <v>3</v>
      </c>
      <c r="E39">
        <v>1156</v>
      </c>
      <c r="F39">
        <v>1</v>
      </c>
      <c r="G39" t="s">
        <v>114</v>
      </c>
      <c r="H39">
        <f>TIMEVALUE(SUBSTITUTE(SUBSTITUTE(_5__DAILY_USAGE_TREND[[#This Row],[TOTAL_DURATION]],"hour",":"),"min",""))</f>
        <v>2.2916666666666665E-2</v>
      </c>
    </row>
    <row r="40" spans="1:8" x14ac:dyDescent="0.3">
      <c r="A40" s="1">
        <v>45055</v>
      </c>
      <c r="B40">
        <v>3</v>
      </c>
      <c r="C40">
        <v>3</v>
      </c>
      <c r="D40">
        <v>6</v>
      </c>
      <c r="E40">
        <v>2209</v>
      </c>
      <c r="F40">
        <v>3</v>
      </c>
      <c r="G40" t="s">
        <v>115</v>
      </c>
      <c r="H40">
        <f>TIMEVALUE(SUBSTITUTE(SUBSTITUTE(_5__DAILY_USAGE_TREND[[#This Row],[TOTAL_DURATION]],"hour",":"),"min",""))</f>
        <v>0.64861111111111114</v>
      </c>
    </row>
    <row r="41" spans="1:8" x14ac:dyDescent="0.3">
      <c r="A41" s="1">
        <v>45056</v>
      </c>
      <c r="B41">
        <v>1</v>
      </c>
      <c r="C41">
        <v>1</v>
      </c>
      <c r="D41">
        <v>1</v>
      </c>
      <c r="E41">
        <v>738</v>
      </c>
      <c r="F41">
        <v>1</v>
      </c>
      <c r="G41" t="s">
        <v>50</v>
      </c>
      <c r="H41">
        <f>TIMEVALUE(SUBSTITUTE(SUBSTITUTE(_5__DAILY_USAGE_TREND[[#This Row],[TOTAL_DURATION]],"hour",":"),"min",""))</f>
        <v>5.5555555555555552E-2</v>
      </c>
    </row>
    <row r="42" spans="1:8" x14ac:dyDescent="0.3">
      <c r="A42" s="1">
        <v>45057</v>
      </c>
      <c r="B42">
        <v>2</v>
      </c>
      <c r="C42">
        <v>2</v>
      </c>
      <c r="D42">
        <v>4</v>
      </c>
      <c r="E42">
        <v>1778</v>
      </c>
      <c r="F42">
        <v>2</v>
      </c>
      <c r="G42" t="s">
        <v>60</v>
      </c>
      <c r="H42">
        <f>TIMEVALUE(SUBSTITUTE(SUBSTITUTE(_5__DAILY_USAGE_TREND[[#This Row],[TOTAL_DURATION]],"hour",":"),"min",""))</f>
        <v>6.8750000000000006E-2</v>
      </c>
    </row>
    <row r="43" spans="1:8" x14ac:dyDescent="0.3">
      <c r="A43" s="1">
        <v>45061</v>
      </c>
      <c r="B43">
        <v>2</v>
      </c>
      <c r="C43">
        <v>1</v>
      </c>
      <c r="D43">
        <v>3</v>
      </c>
      <c r="E43">
        <v>1665</v>
      </c>
      <c r="F43">
        <v>2</v>
      </c>
      <c r="G43" t="s">
        <v>116</v>
      </c>
      <c r="H43">
        <f>TIMEVALUE(SUBSTITUTE(SUBSTITUTE(_5__DAILY_USAGE_TREND[[#This Row],[TOTAL_DURATION]],"hour",":"),"min",""))</f>
        <v>9.375E-2</v>
      </c>
    </row>
    <row r="44" spans="1:8" x14ac:dyDescent="0.3">
      <c r="A44" s="1">
        <v>45062</v>
      </c>
      <c r="B44">
        <v>2</v>
      </c>
      <c r="C44">
        <v>2</v>
      </c>
      <c r="D44">
        <v>7</v>
      </c>
      <c r="E44">
        <v>1815</v>
      </c>
      <c r="F44">
        <v>2</v>
      </c>
      <c r="G44" t="s">
        <v>117</v>
      </c>
      <c r="H44">
        <f>TIMEVALUE(SUBSTITUTE(SUBSTITUTE(_5__DAILY_USAGE_TREND[[#This Row],[TOTAL_DURATION]],"hour",":"),"min",""))</f>
        <v>0.375</v>
      </c>
    </row>
    <row r="45" spans="1:8" x14ac:dyDescent="0.3">
      <c r="A45" s="1">
        <v>45063</v>
      </c>
      <c r="B45">
        <v>1</v>
      </c>
      <c r="C45">
        <v>1</v>
      </c>
      <c r="D45">
        <v>2</v>
      </c>
      <c r="E45">
        <v>615</v>
      </c>
      <c r="F45">
        <v>1</v>
      </c>
      <c r="G45" t="s">
        <v>118</v>
      </c>
      <c r="H45">
        <f>TIMEVALUE(SUBSTITUTE(SUBSTITUTE(_5__DAILY_USAGE_TREND[[#This Row],[TOTAL_DURATION]],"hour",":"),"min",""))</f>
        <v>0.3611111111111111</v>
      </c>
    </row>
    <row r="46" spans="1:8" x14ac:dyDescent="0.3">
      <c r="A46" s="1">
        <v>45065</v>
      </c>
      <c r="B46">
        <v>1</v>
      </c>
      <c r="C46">
        <v>1</v>
      </c>
      <c r="D46">
        <v>1</v>
      </c>
      <c r="E46">
        <v>120</v>
      </c>
      <c r="F46">
        <v>1</v>
      </c>
      <c r="G46" t="s">
        <v>119</v>
      </c>
      <c r="H46">
        <f>TIMEVALUE(SUBSTITUTE(SUBSTITUTE(_5__DAILY_USAGE_TREND[[#This Row],[TOTAL_DURATION]],"hour",":"),"min",""))</f>
        <v>1.1111111111111112E-2</v>
      </c>
    </row>
    <row r="47" spans="1:8" x14ac:dyDescent="0.3">
      <c r="A47" s="1">
        <v>45067</v>
      </c>
      <c r="B47">
        <v>1</v>
      </c>
      <c r="C47">
        <v>1</v>
      </c>
      <c r="D47">
        <v>1</v>
      </c>
      <c r="E47">
        <v>515</v>
      </c>
      <c r="F47">
        <v>1</v>
      </c>
      <c r="G47" t="s">
        <v>120</v>
      </c>
      <c r="H47">
        <f>TIMEVALUE(SUBSTITUTE(SUBSTITUTE(_5__DAILY_USAGE_TREND[[#This Row],[TOTAL_DURATION]],"hour",":"),"min",""))</f>
        <v>2.1527777777777778E-2</v>
      </c>
    </row>
    <row r="48" spans="1:8" x14ac:dyDescent="0.3">
      <c r="A48" s="1">
        <v>45074</v>
      </c>
      <c r="B48">
        <v>1</v>
      </c>
      <c r="C48">
        <v>1</v>
      </c>
      <c r="D48">
        <v>2</v>
      </c>
      <c r="E48">
        <v>376</v>
      </c>
      <c r="F48">
        <v>1</v>
      </c>
      <c r="G48" t="s">
        <v>121</v>
      </c>
      <c r="H48">
        <f>TIMEVALUE(SUBSTITUTE(SUBSTITUTE(_5__DAILY_USAGE_TREND[[#This Row],[TOTAL_DURATION]],"hour",":"),"min",""))</f>
        <v>8.4722222222222227E-2</v>
      </c>
    </row>
    <row r="49" spans="1:8" x14ac:dyDescent="0.3">
      <c r="A49" s="1">
        <v>45079</v>
      </c>
      <c r="B49">
        <v>1</v>
      </c>
      <c r="C49">
        <v>1</v>
      </c>
      <c r="D49">
        <v>5</v>
      </c>
      <c r="E49">
        <v>2081</v>
      </c>
      <c r="F49">
        <v>1</v>
      </c>
      <c r="G49" t="s">
        <v>44</v>
      </c>
      <c r="H49">
        <f>TIMEVALUE(SUBSTITUTE(SUBSTITUTE(_5__DAILY_USAGE_TREND[[#This Row],[TOTAL_DURATION]],"hour",":"),"min",""))</f>
        <v>4.5138888888888888E-2</v>
      </c>
    </row>
    <row r="50" spans="1:8" x14ac:dyDescent="0.3">
      <c r="A50" s="1">
        <v>45080</v>
      </c>
      <c r="B50">
        <v>1</v>
      </c>
      <c r="C50">
        <v>1</v>
      </c>
      <c r="D50">
        <v>1</v>
      </c>
      <c r="E50">
        <v>302</v>
      </c>
      <c r="F50">
        <v>1</v>
      </c>
      <c r="G50" t="s">
        <v>120</v>
      </c>
      <c r="H50">
        <f>TIMEVALUE(SUBSTITUTE(SUBSTITUTE(_5__DAILY_USAGE_TREND[[#This Row],[TOTAL_DURATION]],"hour",":"),"min",""))</f>
        <v>2.1527777777777778E-2</v>
      </c>
    </row>
    <row r="51" spans="1:8" x14ac:dyDescent="0.3">
      <c r="A51" s="1">
        <v>45084</v>
      </c>
      <c r="B51">
        <v>1</v>
      </c>
      <c r="C51">
        <v>1</v>
      </c>
      <c r="D51">
        <v>1</v>
      </c>
      <c r="E51">
        <v>401</v>
      </c>
      <c r="F51">
        <v>1</v>
      </c>
      <c r="G51" t="s">
        <v>122</v>
      </c>
      <c r="H51">
        <f>TIMEVALUE(SUBSTITUTE(SUBSTITUTE(_5__DAILY_USAGE_TREND[[#This Row],[TOTAL_DURATION]],"hour",":"),"min",""))</f>
        <v>2.013888888888889E-2</v>
      </c>
    </row>
    <row r="52" spans="1:8" x14ac:dyDescent="0.3">
      <c r="A52" s="1">
        <v>45086</v>
      </c>
      <c r="B52">
        <v>1</v>
      </c>
      <c r="C52">
        <v>1</v>
      </c>
      <c r="D52">
        <v>3</v>
      </c>
      <c r="E52">
        <v>1259</v>
      </c>
      <c r="F52">
        <v>1</v>
      </c>
      <c r="G52" t="s">
        <v>123</v>
      </c>
      <c r="H52">
        <f>TIMEVALUE(SUBSTITUTE(SUBSTITUTE(_5__DAILY_USAGE_TREND[[#This Row],[TOTAL_DURATION]],"hour",":"),"min",""))</f>
        <v>3.7499999999999999E-2</v>
      </c>
    </row>
    <row r="53" spans="1:8" x14ac:dyDescent="0.3">
      <c r="A53" s="1">
        <v>45090</v>
      </c>
      <c r="B53">
        <v>3</v>
      </c>
      <c r="C53">
        <v>2</v>
      </c>
      <c r="D53">
        <v>7</v>
      </c>
      <c r="E53">
        <v>2895</v>
      </c>
      <c r="F53">
        <v>3</v>
      </c>
      <c r="G53" t="s">
        <v>124</v>
      </c>
      <c r="H53">
        <f>TIMEVALUE(SUBSTITUTE(SUBSTITUTE(_5__DAILY_USAGE_TREND[[#This Row],[TOTAL_DURATION]],"hour",":"),"min",""))</f>
        <v>0.59930555555555554</v>
      </c>
    </row>
    <row r="54" spans="1:8" x14ac:dyDescent="0.3">
      <c r="A54" s="1">
        <v>45092</v>
      </c>
      <c r="B54">
        <v>1</v>
      </c>
      <c r="C54">
        <v>1</v>
      </c>
      <c r="D54">
        <v>2</v>
      </c>
      <c r="E54">
        <v>492</v>
      </c>
      <c r="F54">
        <v>1</v>
      </c>
      <c r="G54" t="s">
        <v>125</v>
      </c>
      <c r="H54">
        <f>TIMEVALUE(SUBSTITUTE(SUBSTITUTE(_5__DAILY_USAGE_TREND[[#This Row],[TOTAL_DURATION]],"hour",":"),"min",""))</f>
        <v>1.9444444444444445E-2</v>
      </c>
    </row>
    <row r="55" spans="1:8" x14ac:dyDescent="0.3">
      <c r="A55" s="1">
        <v>45095</v>
      </c>
      <c r="B55">
        <v>1</v>
      </c>
      <c r="C55">
        <v>1</v>
      </c>
      <c r="D55">
        <v>1</v>
      </c>
      <c r="E55">
        <v>567</v>
      </c>
      <c r="F55">
        <v>1</v>
      </c>
      <c r="G55" t="s">
        <v>126</v>
      </c>
      <c r="H55">
        <f>TIMEVALUE(SUBSTITUTE(SUBSTITUTE(_5__DAILY_USAGE_TREND[[#This Row],[TOTAL_DURATION]],"hour",":"),"min",""))</f>
        <v>0.21319444444444444</v>
      </c>
    </row>
    <row r="56" spans="1:8" x14ac:dyDescent="0.3">
      <c r="A56" s="1">
        <v>45100</v>
      </c>
      <c r="B56">
        <v>1</v>
      </c>
      <c r="C56">
        <v>1</v>
      </c>
      <c r="D56">
        <v>3</v>
      </c>
      <c r="E56">
        <v>1146</v>
      </c>
      <c r="F56">
        <v>1</v>
      </c>
      <c r="G56" t="s">
        <v>105</v>
      </c>
      <c r="H56">
        <f>TIMEVALUE(SUBSTITUTE(SUBSTITUTE(_5__DAILY_USAGE_TREND[[#This Row],[TOTAL_DURATION]],"hour",":"),"min",""))</f>
        <v>9.583333333333334E-2</v>
      </c>
    </row>
    <row r="57" spans="1:8" x14ac:dyDescent="0.3">
      <c r="A57" s="1">
        <v>45101</v>
      </c>
      <c r="B57">
        <v>1</v>
      </c>
      <c r="C57">
        <v>1</v>
      </c>
      <c r="D57">
        <v>2</v>
      </c>
      <c r="E57">
        <v>494</v>
      </c>
      <c r="F57">
        <v>1</v>
      </c>
      <c r="G57" t="s">
        <v>127</v>
      </c>
      <c r="H57">
        <f>TIMEVALUE(SUBSTITUTE(SUBSTITUTE(_5__DAILY_USAGE_TREND[[#This Row],[TOTAL_DURATION]],"hour",":"),"min",""))</f>
        <v>2.7777777777777776E-2</v>
      </c>
    </row>
    <row r="58" spans="1:8" x14ac:dyDescent="0.3">
      <c r="A58" s="1">
        <v>45102</v>
      </c>
      <c r="B58">
        <v>1</v>
      </c>
      <c r="C58">
        <v>1</v>
      </c>
      <c r="D58">
        <v>3</v>
      </c>
      <c r="E58">
        <v>1195</v>
      </c>
      <c r="F58">
        <v>1</v>
      </c>
      <c r="G58" t="s">
        <v>128</v>
      </c>
      <c r="H58">
        <f>TIMEVALUE(SUBSTITUTE(SUBSTITUTE(_5__DAILY_USAGE_TREND[[#This Row],[TOTAL_DURATION]],"hour",":"),"min",""))</f>
        <v>0.54791666666666672</v>
      </c>
    </row>
    <row r="59" spans="1:8" x14ac:dyDescent="0.3">
      <c r="A59" s="1">
        <v>45103</v>
      </c>
      <c r="B59">
        <v>1</v>
      </c>
      <c r="C59">
        <v>1</v>
      </c>
      <c r="D59">
        <v>1</v>
      </c>
      <c r="E59">
        <v>460</v>
      </c>
      <c r="F59">
        <v>1</v>
      </c>
      <c r="G59" t="s">
        <v>129</v>
      </c>
      <c r="H59">
        <f>TIMEVALUE(SUBSTITUTE(SUBSTITUTE(_5__DAILY_USAGE_TREND[[#This Row],[TOTAL_DURATION]],"hour",":"),"min",""))</f>
        <v>4.1666666666666664E-2</v>
      </c>
    </row>
    <row r="60" spans="1:8" x14ac:dyDescent="0.3">
      <c r="A60" s="1">
        <v>45107</v>
      </c>
      <c r="B60">
        <v>1</v>
      </c>
      <c r="C60">
        <v>1</v>
      </c>
      <c r="D60">
        <v>4</v>
      </c>
      <c r="E60">
        <v>771</v>
      </c>
      <c r="F60">
        <v>1</v>
      </c>
      <c r="G60" t="s">
        <v>130</v>
      </c>
      <c r="H60">
        <f>TIMEVALUE(SUBSTITUTE(SUBSTITUTE(_5__DAILY_USAGE_TREND[[#This Row],[TOTAL_DURATION]],"hour",":"),"min",""))</f>
        <v>0.18888888888888888</v>
      </c>
    </row>
    <row r="61" spans="1:8" x14ac:dyDescent="0.3">
      <c r="A61" s="1">
        <v>45108</v>
      </c>
      <c r="B61">
        <v>1</v>
      </c>
      <c r="C61">
        <v>1</v>
      </c>
      <c r="D61">
        <v>6</v>
      </c>
      <c r="E61">
        <v>2783</v>
      </c>
      <c r="F61">
        <v>1</v>
      </c>
      <c r="G61" t="s">
        <v>23</v>
      </c>
      <c r="H61">
        <f>TIMEVALUE(SUBSTITUTE(SUBSTITUTE(_5__DAILY_USAGE_TREND[[#This Row],[TOTAL_DURATION]],"hour",":"),"min",""))</f>
        <v>0.9458333333333333</v>
      </c>
    </row>
    <row r="62" spans="1:8" x14ac:dyDescent="0.3">
      <c r="A62" s="1">
        <v>45109</v>
      </c>
      <c r="B62">
        <v>2</v>
      </c>
      <c r="C62">
        <v>2</v>
      </c>
      <c r="D62">
        <v>5</v>
      </c>
      <c r="E62">
        <v>1394</v>
      </c>
      <c r="F62">
        <v>2</v>
      </c>
      <c r="G62" t="s">
        <v>131</v>
      </c>
      <c r="H62">
        <f>TIMEVALUE(SUBSTITUTE(SUBSTITUTE(_5__DAILY_USAGE_TREND[[#This Row],[TOTAL_DURATION]],"hour",":"),"min",""))</f>
        <v>0.66597222222222219</v>
      </c>
    </row>
    <row r="63" spans="1:8" x14ac:dyDescent="0.3">
      <c r="A63" s="1">
        <v>45113</v>
      </c>
      <c r="B63">
        <v>1</v>
      </c>
      <c r="C63">
        <v>1</v>
      </c>
      <c r="D63">
        <v>3</v>
      </c>
      <c r="E63">
        <v>1256</v>
      </c>
      <c r="F63">
        <v>1</v>
      </c>
      <c r="G63" t="s">
        <v>132</v>
      </c>
      <c r="H63">
        <f>TIMEVALUE(SUBSTITUTE(SUBSTITUTE(_5__DAILY_USAGE_TREND[[#This Row],[TOTAL_DURATION]],"hour",":"),"min",""))</f>
        <v>4.583333333333333E-2</v>
      </c>
    </row>
    <row r="64" spans="1:8" x14ac:dyDescent="0.3">
      <c r="A64" s="1">
        <v>45114</v>
      </c>
      <c r="B64">
        <v>1</v>
      </c>
      <c r="C64">
        <v>1</v>
      </c>
      <c r="D64">
        <v>2</v>
      </c>
      <c r="E64">
        <v>659</v>
      </c>
      <c r="F64">
        <v>1</v>
      </c>
      <c r="G64" t="s">
        <v>133</v>
      </c>
      <c r="H64">
        <f>TIMEVALUE(SUBSTITUTE(SUBSTITUTE(_5__DAILY_USAGE_TREND[[#This Row],[TOTAL_DURATION]],"hour",":"),"min",""))</f>
        <v>0.15555555555555556</v>
      </c>
    </row>
    <row r="65" spans="1:8" x14ac:dyDescent="0.3">
      <c r="A65" s="1">
        <v>45115</v>
      </c>
      <c r="B65">
        <v>1</v>
      </c>
      <c r="C65">
        <v>1</v>
      </c>
      <c r="D65">
        <v>4</v>
      </c>
      <c r="E65">
        <v>1662</v>
      </c>
      <c r="F65">
        <v>1</v>
      </c>
      <c r="G65" t="s">
        <v>134</v>
      </c>
      <c r="H65">
        <f>TIMEVALUE(SUBSTITUTE(SUBSTITUTE(_5__DAILY_USAGE_TREND[[#This Row],[TOTAL_DURATION]],"hour",":"),"min",""))</f>
        <v>0.1111111111111111</v>
      </c>
    </row>
    <row r="66" spans="1:8" x14ac:dyDescent="0.3">
      <c r="A66" s="1">
        <v>45117</v>
      </c>
      <c r="B66">
        <v>1</v>
      </c>
      <c r="C66">
        <v>1</v>
      </c>
      <c r="D66">
        <v>4</v>
      </c>
      <c r="E66">
        <v>1856</v>
      </c>
      <c r="F66">
        <v>1</v>
      </c>
      <c r="G66" t="s">
        <v>135</v>
      </c>
      <c r="H66">
        <f>TIMEVALUE(SUBSTITUTE(SUBSTITUTE(_5__DAILY_USAGE_TREND[[#This Row],[TOTAL_DURATION]],"hour",":"),"min",""))</f>
        <v>0.30277777777777781</v>
      </c>
    </row>
    <row r="67" spans="1:8" x14ac:dyDescent="0.3">
      <c r="A67" s="1">
        <v>45118</v>
      </c>
      <c r="B67">
        <v>1</v>
      </c>
      <c r="C67">
        <v>1</v>
      </c>
      <c r="D67">
        <v>3</v>
      </c>
      <c r="E67">
        <v>761</v>
      </c>
      <c r="F67">
        <v>1</v>
      </c>
      <c r="G67" t="s">
        <v>136</v>
      </c>
      <c r="H67">
        <f>TIMEVALUE(SUBSTITUTE(SUBSTITUTE(_5__DAILY_USAGE_TREND[[#This Row],[TOTAL_DURATION]],"hour",":"),"min",""))</f>
        <v>0.22500000000000001</v>
      </c>
    </row>
    <row r="68" spans="1:8" x14ac:dyDescent="0.3">
      <c r="A68" s="1">
        <v>45122</v>
      </c>
      <c r="B68">
        <v>1</v>
      </c>
      <c r="C68">
        <v>1</v>
      </c>
      <c r="D68">
        <v>1</v>
      </c>
      <c r="E68">
        <v>378</v>
      </c>
      <c r="F68">
        <v>1</v>
      </c>
      <c r="G68" t="s">
        <v>137</v>
      </c>
      <c r="H68">
        <f>TIMEVALUE(SUBSTITUTE(SUBSTITUTE(_5__DAILY_USAGE_TREND[[#This Row],[TOTAL_DURATION]],"hour",":"),"min",""))</f>
        <v>2.6388888888888889E-2</v>
      </c>
    </row>
    <row r="69" spans="1:8" x14ac:dyDescent="0.3">
      <c r="A69" s="1">
        <v>45124</v>
      </c>
      <c r="B69">
        <v>1</v>
      </c>
      <c r="C69">
        <v>1</v>
      </c>
      <c r="D69">
        <v>5</v>
      </c>
      <c r="E69">
        <v>1450</v>
      </c>
      <c r="F69">
        <v>1</v>
      </c>
      <c r="G69" t="s">
        <v>138</v>
      </c>
      <c r="H69">
        <f>TIMEVALUE(SUBSTITUTE(SUBSTITUTE(_5__DAILY_USAGE_TREND[[#This Row],[TOTAL_DURATION]],"hour",":"),"min",""))</f>
        <v>0.40625</v>
      </c>
    </row>
    <row r="70" spans="1:8" x14ac:dyDescent="0.3">
      <c r="A70" s="1">
        <v>45126</v>
      </c>
      <c r="B70">
        <v>1</v>
      </c>
      <c r="C70">
        <v>1</v>
      </c>
      <c r="D70">
        <v>3</v>
      </c>
      <c r="E70">
        <v>960</v>
      </c>
      <c r="F70">
        <v>1</v>
      </c>
      <c r="G70" t="s">
        <v>139</v>
      </c>
      <c r="H70">
        <f>TIMEVALUE(SUBSTITUTE(SUBSTITUTE(_5__DAILY_USAGE_TREND[[#This Row],[TOTAL_DURATION]],"hour",":"),"min",""))</f>
        <v>0.21458333333333332</v>
      </c>
    </row>
    <row r="71" spans="1:8" x14ac:dyDescent="0.3">
      <c r="A71" s="1">
        <v>45128</v>
      </c>
      <c r="B71">
        <v>1</v>
      </c>
      <c r="C71">
        <v>1</v>
      </c>
      <c r="D71">
        <v>5</v>
      </c>
      <c r="E71">
        <v>2258</v>
      </c>
      <c r="F71">
        <v>1</v>
      </c>
      <c r="G71" t="s">
        <v>26</v>
      </c>
      <c r="H71">
        <f>TIMEVALUE(SUBSTITUTE(SUBSTITUTE(_5__DAILY_USAGE_TREND[[#This Row],[TOTAL_DURATION]],"hour",":"),"min",""))</f>
        <v>6.25E-2</v>
      </c>
    </row>
    <row r="72" spans="1:8" x14ac:dyDescent="0.3">
      <c r="A72" s="1">
        <v>45130</v>
      </c>
      <c r="B72">
        <v>1</v>
      </c>
      <c r="C72">
        <v>1</v>
      </c>
      <c r="D72">
        <v>5</v>
      </c>
      <c r="E72">
        <v>1701</v>
      </c>
      <c r="F72">
        <v>1</v>
      </c>
      <c r="G72" t="s">
        <v>140</v>
      </c>
      <c r="H72">
        <f>TIMEVALUE(SUBSTITUTE(SUBSTITUTE(_5__DAILY_USAGE_TREND[[#This Row],[TOTAL_DURATION]],"hour",":"),"min",""))</f>
        <v>7.9861111111111105E-2</v>
      </c>
    </row>
    <row r="73" spans="1:8" x14ac:dyDescent="0.3">
      <c r="A73" s="1">
        <v>45133</v>
      </c>
      <c r="B73">
        <v>1</v>
      </c>
      <c r="C73">
        <v>1</v>
      </c>
      <c r="D73">
        <v>2</v>
      </c>
      <c r="E73">
        <v>694</v>
      </c>
      <c r="F73">
        <v>1</v>
      </c>
      <c r="G73" t="s">
        <v>141</v>
      </c>
      <c r="H73">
        <f>TIMEVALUE(SUBSTITUTE(SUBSTITUTE(_5__DAILY_USAGE_TREND[[#This Row],[TOTAL_DURATION]],"hour",":"),"min",""))</f>
        <v>0.12777777777777777</v>
      </c>
    </row>
    <row r="74" spans="1:8" x14ac:dyDescent="0.3">
      <c r="A74" s="1">
        <v>45134</v>
      </c>
      <c r="B74">
        <v>2</v>
      </c>
      <c r="C74">
        <v>2</v>
      </c>
      <c r="D74">
        <v>8</v>
      </c>
      <c r="E74">
        <v>2815</v>
      </c>
      <c r="F74">
        <v>2</v>
      </c>
      <c r="G74" t="s">
        <v>142</v>
      </c>
      <c r="H74">
        <f>TIMEVALUE(SUBSTITUTE(SUBSTITUTE(_5__DAILY_USAGE_TREND[[#This Row],[TOTAL_DURATION]],"hour",":"),"min",""))</f>
        <v>0.34375</v>
      </c>
    </row>
    <row r="75" spans="1:8" x14ac:dyDescent="0.3">
      <c r="A75" s="1">
        <v>45137</v>
      </c>
      <c r="B75">
        <v>1</v>
      </c>
      <c r="C75">
        <v>1</v>
      </c>
      <c r="D75">
        <v>1</v>
      </c>
      <c r="E75">
        <v>279</v>
      </c>
      <c r="F75">
        <v>1</v>
      </c>
      <c r="G75" t="s">
        <v>143</v>
      </c>
      <c r="H75">
        <f>TIMEVALUE(SUBSTITUTE(SUBSTITUTE(_5__DAILY_USAGE_TREND[[#This Row],[TOTAL_DURATION]],"hour",":"),"min",""))</f>
        <v>1.2500000000000001E-2</v>
      </c>
    </row>
    <row r="76" spans="1:8" x14ac:dyDescent="0.3">
      <c r="A76" s="1">
        <v>45138</v>
      </c>
      <c r="B76">
        <v>1</v>
      </c>
      <c r="C76">
        <v>1</v>
      </c>
      <c r="D76">
        <v>1</v>
      </c>
      <c r="E76">
        <v>243</v>
      </c>
      <c r="F76">
        <v>1</v>
      </c>
      <c r="G76" t="s">
        <v>144</v>
      </c>
      <c r="H76">
        <f>TIMEVALUE(SUBSTITUTE(SUBSTITUTE(_5__DAILY_USAGE_TREND[[#This Row],[TOTAL_DURATION]],"hour",":"),"min",""))</f>
        <v>0.10972222222222222</v>
      </c>
    </row>
    <row r="77" spans="1:8" x14ac:dyDescent="0.3">
      <c r="A77" s="1">
        <v>45140</v>
      </c>
      <c r="B77">
        <v>1</v>
      </c>
      <c r="C77">
        <v>1</v>
      </c>
      <c r="D77">
        <v>2</v>
      </c>
      <c r="E77">
        <v>630</v>
      </c>
      <c r="F77">
        <v>1</v>
      </c>
      <c r="G77" t="s">
        <v>145</v>
      </c>
      <c r="H77">
        <f>TIMEVALUE(SUBSTITUTE(SUBSTITUTE(_5__DAILY_USAGE_TREND[[#This Row],[TOTAL_DURATION]],"hour",":"),"min",""))</f>
        <v>0.14305555555555555</v>
      </c>
    </row>
    <row r="78" spans="1:8" x14ac:dyDescent="0.3">
      <c r="A78" s="1">
        <v>45143</v>
      </c>
      <c r="B78">
        <v>1</v>
      </c>
      <c r="C78">
        <v>1</v>
      </c>
      <c r="D78">
        <v>1</v>
      </c>
      <c r="E78">
        <v>336</v>
      </c>
      <c r="F78">
        <v>1</v>
      </c>
      <c r="G78" t="s">
        <v>146</v>
      </c>
      <c r="H78">
        <f>TIMEVALUE(SUBSTITUTE(SUBSTITUTE(_5__DAILY_USAGE_TREND[[#This Row],[TOTAL_DURATION]],"hour",":"),"min",""))</f>
        <v>7.0833333333333331E-2</v>
      </c>
    </row>
    <row r="79" spans="1:8" x14ac:dyDescent="0.3">
      <c r="A79" s="1">
        <v>45145</v>
      </c>
      <c r="B79">
        <v>1</v>
      </c>
      <c r="C79">
        <v>1</v>
      </c>
      <c r="D79">
        <v>4</v>
      </c>
      <c r="E79">
        <v>1548</v>
      </c>
      <c r="F79">
        <v>1</v>
      </c>
      <c r="G79" t="s">
        <v>125</v>
      </c>
      <c r="H79">
        <f>TIMEVALUE(SUBSTITUTE(SUBSTITUTE(_5__DAILY_USAGE_TREND[[#This Row],[TOTAL_DURATION]],"hour",":"),"min",""))</f>
        <v>1.9444444444444445E-2</v>
      </c>
    </row>
    <row r="80" spans="1:8" x14ac:dyDescent="0.3">
      <c r="A80" s="1">
        <v>45146</v>
      </c>
      <c r="B80">
        <v>1</v>
      </c>
      <c r="C80">
        <v>1</v>
      </c>
      <c r="D80">
        <v>4</v>
      </c>
      <c r="E80">
        <v>1456</v>
      </c>
      <c r="F80">
        <v>1</v>
      </c>
      <c r="G80" t="s">
        <v>147</v>
      </c>
      <c r="H80">
        <f>TIMEVALUE(SUBSTITUTE(SUBSTITUTE(_5__DAILY_USAGE_TREND[[#This Row],[TOTAL_DURATION]],"hour",":"),"min",""))</f>
        <v>0.82777777777777772</v>
      </c>
    </row>
    <row r="81" spans="1:8" x14ac:dyDescent="0.3">
      <c r="A81" s="1">
        <v>45147</v>
      </c>
      <c r="B81">
        <v>3</v>
      </c>
      <c r="C81">
        <v>3</v>
      </c>
      <c r="D81">
        <v>5</v>
      </c>
      <c r="E81">
        <v>1483</v>
      </c>
      <c r="F81">
        <v>3</v>
      </c>
      <c r="G81" t="s">
        <v>148</v>
      </c>
      <c r="H81">
        <f>TIMEVALUE(SUBSTITUTE(SUBSTITUTE(_5__DAILY_USAGE_TREND[[#This Row],[TOTAL_DURATION]],"hour",":"),"min",""))</f>
        <v>0.20347222222222222</v>
      </c>
    </row>
    <row r="82" spans="1:8" x14ac:dyDescent="0.3">
      <c r="A82" s="1">
        <v>45148</v>
      </c>
      <c r="B82">
        <v>1</v>
      </c>
      <c r="C82">
        <v>1</v>
      </c>
      <c r="D82">
        <v>1</v>
      </c>
      <c r="E82">
        <v>553</v>
      </c>
      <c r="F82">
        <v>1</v>
      </c>
      <c r="G82" t="s">
        <v>149</v>
      </c>
      <c r="H82">
        <f>TIMEVALUE(SUBSTITUTE(SUBSTITUTE(_5__DAILY_USAGE_TREND[[#This Row],[TOTAL_DURATION]],"hour",":"),"min",""))</f>
        <v>0.19513888888888889</v>
      </c>
    </row>
    <row r="83" spans="1:8" x14ac:dyDescent="0.3">
      <c r="A83" s="1">
        <v>45149</v>
      </c>
      <c r="B83">
        <v>1</v>
      </c>
      <c r="C83">
        <v>1</v>
      </c>
      <c r="D83">
        <v>1</v>
      </c>
      <c r="E83">
        <v>676</v>
      </c>
      <c r="F83">
        <v>1</v>
      </c>
      <c r="G83" t="s">
        <v>125</v>
      </c>
      <c r="H83">
        <f>TIMEVALUE(SUBSTITUTE(SUBSTITUTE(_5__DAILY_USAGE_TREND[[#This Row],[TOTAL_DURATION]],"hour",":"),"min",""))</f>
        <v>1.9444444444444445E-2</v>
      </c>
    </row>
    <row r="84" spans="1:8" x14ac:dyDescent="0.3">
      <c r="A84" s="1">
        <v>45150</v>
      </c>
      <c r="B84">
        <v>1</v>
      </c>
      <c r="C84">
        <v>1</v>
      </c>
      <c r="D84">
        <v>2</v>
      </c>
      <c r="E84">
        <v>904</v>
      </c>
      <c r="F84">
        <v>1</v>
      </c>
      <c r="G84" t="s">
        <v>150</v>
      </c>
      <c r="H84">
        <f>TIMEVALUE(SUBSTITUTE(SUBSTITUTE(_5__DAILY_USAGE_TREND[[#This Row],[TOTAL_DURATION]],"hour",":"),"min",""))</f>
        <v>5.2777777777777778E-2</v>
      </c>
    </row>
    <row r="85" spans="1:8" x14ac:dyDescent="0.3">
      <c r="A85" s="1">
        <v>45151</v>
      </c>
      <c r="B85">
        <v>1</v>
      </c>
      <c r="C85">
        <v>1</v>
      </c>
      <c r="D85">
        <v>2</v>
      </c>
      <c r="E85">
        <v>696</v>
      </c>
      <c r="F85">
        <v>1</v>
      </c>
      <c r="G85" t="s">
        <v>151</v>
      </c>
      <c r="H85">
        <f>TIMEVALUE(SUBSTITUTE(SUBSTITUTE(_5__DAILY_USAGE_TREND[[#This Row],[TOTAL_DURATION]],"hour",":"),"min",""))</f>
        <v>0.1361111111111111</v>
      </c>
    </row>
    <row r="86" spans="1:8" x14ac:dyDescent="0.3">
      <c r="A86" s="1">
        <v>45152</v>
      </c>
      <c r="B86">
        <v>3</v>
      </c>
      <c r="C86">
        <v>3</v>
      </c>
      <c r="D86">
        <v>7</v>
      </c>
      <c r="E86">
        <v>2838</v>
      </c>
      <c r="F86">
        <v>3</v>
      </c>
      <c r="G86" t="s">
        <v>152</v>
      </c>
      <c r="H86">
        <f>TIMEVALUE(SUBSTITUTE(SUBSTITUTE(_5__DAILY_USAGE_TREND[[#This Row],[TOTAL_DURATION]],"hour",":"),"min",""))</f>
        <v>0.35972222222222222</v>
      </c>
    </row>
    <row r="87" spans="1:8" x14ac:dyDescent="0.3">
      <c r="A87" s="1">
        <v>45153</v>
      </c>
      <c r="B87">
        <v>1</v>
      </c>
      <c r="C87">
        <v>1</v>
      </c>
      <c r="D87">
        <v>3</v>
      </c>
      <c r="E87">
        <v>1566</v>
      </c>
      <c r="F87">
        <v>1</v>
      </c>
      <c r="G87" t="s">
        <v>153</v>
      </c>
      <c r="H87">
        <f>TIMEVALUE(SUBSTITUTE(SUBSTITUTE(_5__DAILY_USAGE_TREND[[#This Row],[TOTAL_DURATION]],"hour",":"),"min",""))</f>
        <v>0.11041666666666666</v>
      </c>
    </row>
    <row r="88" spans="1:8" x14ac:dyDescent="0.3">
      <c r="A88" s="1">
        <v>45154</v>
      </c>
      <c r="B88">
        <v>1</v>
      </c>
      <c r="C88">
        <v>1</v>
      </c>
      <c r="D88">
        <v>3</v>
      </c>
      <c r="E88">
        <v>593</v>
      </c>
      <c r="F88">
        <v>1</v>
      </c>
      <c r="G88" t="s">
        <v>154</v>
      </c>
      <c r="H88">
        <f>TIMEVALUE(SUBSTITUTE(SUBSTITUTE(_5__DAILY_USAGE_TREND[[#This Row],[TOTAL_DURATION]],"hour",":"),"min",""))</f>
        <v>5.6250000000000001E-2</v>
      </c>
    </row>
    <row r="89" spans="1:8" x14ac:dyDescent="0.3">
      <c r="A89" s="1">
        <v>45155</v>
      </c>
      <c r="B89">
        <v>2</v>
      </c>
      <c r="C89">
        <v>2</v>
      </c>
      <c r="D89">
        <v>4</v>
      </c>
      <c r="E89">
        <v>1731</v>
      </c>
      <c r="F89">
        <v>2</v>
      </c>
      <c r="G89" t="s">
        <v>155</v>
      </c>
      <c r="H89">
        <f>TIMEVALUE(SUBSTITUTE(SUBSTITUTE(_5__DAILY_USAGE_TREND[[#This Row],[TOTAL_DURATION]],"hour",":"),"min",""))</f>
        <v>0.26666666666666666</v>
      </c>
    </row>
    <row r="90" spans="1:8" x14ac:dyDescent="0.3">
      <c r="A90" s="1">
        <v>45156</v>
      </c>
      <c r="B90">
        <v>1</v>
      </c>
      <c r="C90">
        <v>1</v>
      </c>
      <c r="D90">
        <v>2</v>
      </c>
      <c r="E90">
        <v>693</v>
      </c>
      <c r="F90">
        <v>1</v>
      </c>
      <c r="G90" t="s">
        <v>156</v>
      </c>
      <c r="H90">
        <f>TIMEVALUE(SUBSTITUTE(SUBSTITUTE(_5__DAILY_USAGE_TREND[[#This Row],[TOTAL_DURATION]],"hour",":"),"min",""))</f>
        <v>0.45</v>
      </c>
    </row>
    <row r="91" spans="1:8" x14ac:dyDescent="0.3">
      <c r="A91" s="1">
        <v>45157</v>
      </c>
      <c r="B91">
        <v>1</v>
      </c>
      <c r="C91">
        <v>1</v>
      </c>
      <c r="D91">
        <v>2</v>
      </c>
      <c r="E91">
        <v>685</v>
      </c>
      <c r="F91">
        <v>1</v>
      </c>
      <c r="G91" t="s">
        <v>157</v>
      </c>
      <c r="H91">
        <f>TIMEVALUE(SUBSTITUTE(SUBSTITUTE(_5__DAILY_USAGE_TREND[[#This Row],[TOTAL_DURATION]],"hour",":"),"min",""))</f>
        <v>6.5277777777777782E-2</v>
      </c>
    </row>
    <row r="92" spans="1:8" x14ac:dyDescent="0.3">
      <c r="A92" s="1">
        <v>45158</v>
      </c>
      <c r="B92">
        <v>1</v>
      </c>
      <c r="C92">
        <v>1</v>
      </c>
      <c r="D92">
        <v>2</v>
      </c>
      <c r="E92">
        <v>1040</v>
      </c>
      <c r="F92">
        <v>1</v>
      </c>
      <c r="G92" t="s">
        <v>41</v>
      </c>
      <c r="H92">
        <f>TIMEVALUE(SUBSTITUTE(SUBSTITUTE(_5__DAILY_USAGE_TREND[[#This Row],[TOTAL_DURATION]],"hour",":"),"min",""))</f>
        <v>7.6388888888888895E-2</v>
      </c>
    </row>
    <row r="93" spans="1:8" x14ac:dyDescent="0.3">
      <c r="A93" s="1">
        <v>45159</v>
      </c>
      <c r="B93">
        <v>2</v>
      </c>
      <c r="C93">
        <v>2</v>
      </c>
      <c r="D93">
        <v>8</v>
      </c>
      <c r="E93">
        <v>3328</v>
      </c>
      <c r="F93">
        <v>2</v>
      </c>
      <c r="G93" t="s">
        <v>158</v>
      </c>
      <c r="H93">
        <f>TIMEVALUE(SUBSTITUTE(SUBSTITUTE(_5__DAILY_USAGE_TREND[[#This Row],[TOTAL_DURATION]],"hour",":"),"min",""))</f>
        <v>0.13333333333333333</v>
      </c>
    </row>
    <row r="94" spans="1:8" x14ac:dyDescent="0.3">
      <c r="A94" s="1">
        <v>45162</v>
      </c>
      <c r="B94">
        <v>1</v>
      </c>
      <c r="C94">
        <v>1</v>
      </c>
      <c r="D94">
        <v>2</v>
      </c>
      <c r="E94">
        <v>555</v>
      </c>
      <c r="F94">
        <v>1</v>
      </c>
      <c r="G94" t="s">
        <v>159</v>
      </c>
      <c r="H94">
        <f>TIMEVALUE(SUBSTITUTE(SUBSTITUTE(_5__DAILY_USAGE_TREND[[#This Row],[TOTAL_DURATION]],"hour",":"),"min",""))</f>
        <v>2.9166666666666667E-2</v>
      </c>
    </row>
    <row r="95" spans="1:8" x14ac:dyDescent="0.3">
      <c r="A95" s="1">
        <v>45166</v>
      </c>
      <c r="B95">
        <v>3</v>
      </c>
      <c r="C95">
        <v>3</v>
      </c>
      <c r="D95">
        <v>7</v>
      </c>
      <c r="E95">
        <v>1586</v>
      </c>
      <c r="F95">
        <v>3</v>
      </c>
      <c r="G95" t="s">
        <v>160</v>
      </c>
      <c r="H95">
        <f>TIMEVALUE(SUBSTITUTE(SUBSTITUTE(_5__DAILY_USAGE_TREND[[#This Row],[TOTAL_DURATION]],"hour",":"),"min",""))</f>
        <v>0.44166666666666665</v>
      </c>
    </row>
    <row r="96" spans="1:8" x14ac:dyDescent="0.3">
      <c r="A96" s="1">
        <v>45168</v>
      </c>
      <c r="B96">
        <v>1</v>
      </c>
      <c r="C96">
        <v>1</v>
      </c>
      <c r="D96">
        <v>1</v>
      </c>
      <c r="E96">
        <v>486</v>
      </c>
      <c r="F96">
        <v>1</v>
      </c>
      <c r="G96" t="s">
        <v>161</v>
      </c>
      <c r="H96">
        <f>TIMEVALUE(SUBSTITUTE(SUBSTITUTE(_5__DAILY_USAGE_TREND[[#This Row],[TOTAL_DURATION]],"hour",":"),"min",""))</f>
        <v>4.1666666666666666E-3</v>
      </c>
    </row>
    <row r="97" spans="1:8" x14ac:dyDescent="0.3">
      <c r="A97" s="1">
        <v>45170</v>
      </c>
      <c r="B97">
        <v>2</v>
      </c>
      <c r="C97">
        <v>2</v>
      </c>
      <c r="D97">
        <v>7</v>
      </c>
      <c r="E97">
        <v>2514</v>
      </c>
      <c r="F97">
        <v>2</v>
      </c>
      <c r="G97" t="s">
        <v>162</v>
      </c>
      <c r="H97">
        <f>TIMEVALUE(SUBSTITUTE(SUBSTITUTE(_5__DAILY_USAGE_TREND[[#This Row],[TOTAL_DURATION]],"hour",":"),"min",""))</f>
        <v>8.611111111111111E-2</v>
      </c>
    </row>
    <row r="98" spans="1:8" x14ac:dyDescent="0.3">
      <c r="A98" s="1">
        <v>45171</v>
      </c>
      <c r="B98">
        <v>2</v>
      </c>
      <c r="C98">
        <v>2</v>
      </c>
      <c r="D98">
        <v>7</v>
      </c>
      <c r="E98">
        <v>2355</v>
      </c>
      <c r="F98">
        <v>2</v>
      </c>
      <c r="G98" t="s">
        <v>162</v>
      </c>
      <c r="H98">
        <f>TIMEVALUE(SUBSTITUTE(SUBSTITUTE(_5__DAILY_USAGE_TREND[[#This Row],[TOTAL_DURATION]],"hour",":"),"min",""))</f>
        <v>8.611111111111111E-2</v>
      </c>
    </row>
    <row r="99" spans="1:8" x14ac:dyDescent="0.3">
      <c r="A99" s="1">
        <v>45172</v>
      </c>
      <c r="B99">
        <v>1</v>
      </c>
      <c r="C99">
        <v>1</v>
      </c>
      <c r="D99">
        <v>1</v>
      </c>
      <c r="E99">
        <v>301</v>
      </c>
      <c r="F99">
        <v>1</v>
      </c>
      <c r="G99" t="s">
        <v>163</v>
      </c>
      <c r="H99">
        <f>TIMEVALUE(SUBSTITUTE(SUBSTITUTE(_5__DAILY_USAGE_TREND[[#This Row],[TOTAL_DURATION]],"hour",":"),"min",""))</f>
        <v>0.14097222222222222</v>
      </c>
    </row>
    <row r="100" spans="1:8" x14ac:dyDescent="0.3">
      <c r="A100" s="1">
        <v>45173</v>
      </c>
      <c r="B100">
        <v>2</v>
      </c>
      <c r="C100">
        <v>2</v>
      </c>
      <c r="D100">
        <v>5</v>
      </c>
      <c r="E100">
        <v>2088</v>
      </c>
      <c r="F100">
        <v>2</v>
      </c>
      <c r="G100" t="s">
        <v>164</v>
      </c>
      <c r="H100">
        <f>TIMEVALUE(SUBSTITUTE(SUBSTITUTE(_5__DAILY_USAGE_TREND[[#This Row],[TOTAL_DURATION]],"hour",":"),"min",""))</f>
        <v>0.11597222222222223</v>
      </c>
    </row>
    <row r="101" spans="1:8" x14ac:dyDescent="0.3">
      <c r="A101" s="1">
        <v>45174</v>
      </c>
      <c r="B101">
        <v>1</v>
      </c>
      <c r="C101">
        <v>1</v>
      </c>
      <c r="D101">
        <v>3</v>
      </c>
      <c r="E101">
        <v>1492</v>
      </c>
      <c r="F101">
        <v>1</v>
      </c>
      <c r="G101" t="s">
        <v>36</v>
      </c>
      <c r="H101">
        <f>TIMEVALUE(SUBSTITUTE(SUBSTITUTE(_5__DAILY_USAGE_TREND[[#This Row],[TOTAL_DURATION]],"hour",":"),"min",""))</f>
        <v>5.2083333333333336E-2</v>
      </c>
    </row>
    <row r="102" spans="1:8" x14ac:dyDescent="0.3">
      <c r="A102" s="1">
        <v>45175</v>
      </c>
      <c r="B102">
        <v>1</v>
      </c>
      <c r="C102">
        <v>1</v>
      </c>
      <c r="D102">
        <v>1</v>
      </c>
      <c r="E102">
        <v>184</v>
      </c>
      <c r="F102">
        <v>1</v>
      </c>
      <c r="G102" t="s">
        <v>93</v>
      </c>
      <c r="H102">
        <f>TIMEVALUE(SUBSTITUTE(SUBSTITUTE(_5__DAILY_USAGE_TREND[[#This Row],[TOTAL_DURATION]],"hour",":"),"min",""))</f>
        <v>3.8194444444444448E-2</v>
      </c>
    </row>
    <row r="103" spans="1:8" x14ac:dyDescent="0.3">
      <c r="A103" s="1">
        <v>45178</v>
      </c>
      <c r="B103">
        <v>1</v>
      </c>
      <c r="C103">
        <v>1</v>
      </c>
      <c r="D103">
        <v>5</v>
      </c>
      <c r="E103">
        <v>1764</v>
      </c>
      <c r="F103">
        <v>1</v>
      </c>
      <c r="G103" t="s">
        <v>165</v>
      </c>
      <c r="H103">
        <f>TIMEVALUE(SUBSTITUTE(SUBSTITUTE(_5__DAILY_USAGE_TREND[[#This Row],[TOTAL_DURATION]],"hour",":"),"min",""))</f>
        <v>0.33333333333333331</v>
      </c>
    </row>
    <row r="104" spans="1:8" x14ac:dyDescent="0.3">
      <c r="A104" s="1">
        <v>45179</v>
      </c>
      <c r="B104">
        <v>1</v>
      </c>
      <c r="C104">
        <v>1</v>
      </c>
      <c r="D104">
        <v>2</v>
      </c>
      <c r="E104">
        <v>492</v>
      </c>
      <c r="F104">
        <v>1</v>
      </c>
      <c r="G104" t="s">
        <v>159</v>
      </c>
      <c r="H104">
        <f>TIMEVALUE(SUBSTITUTE(SUBSTITUTE(_5__DAILY_USAGE_TREND[[#This Row],[TOTAL_DURATION]],"hour",":"),"min",""))</f>
        <v>2.9166666666666667E-2</v>
      </c>
    </row>
    <row r="105" spans="1:8" x14ac:dyDescent="0.3">
      <c r="A105" s="1">
        <v>45180</v>
      </c>
      <c r="B105">
        <v>2</v>
      </c>
      <c r="C105">
        <v>2</v>
      </c>
      <c r="D105">
        <v>3</v>
      </c>
      <c r="E105">
        <v>1186</v>
      </c>
      <c r="F105">
        <v>2</v>
      </c>
      <c r="G105" t="s">
        <v>166</v>
      </c>
      <c r="H105">
        <f>TIMEVALUE(SUBSTITUTE(SUBSTITUTE(_5__DAILY_USAGE_TREND[[#This Row],[TOTAL_DURATION]],"hour",":"),"min",""))</f>
        <v>0.23819444444444443</v>
      </c>
    </row>
    <row r="106" spans="1:8" x14ac:dyDescent="0.3">
      <c r="A106" s="1">
        <v>45182</v>
      </c>
      <c r="B106">
        <v>1</v>
      </c>
      <c r="C106">
        <v>1</v>
      </c>
      <c r="D106">
        <v>3</v>
      </c>
      <c r="E106">
        <v>646</v>
      </c>
      <c r="F106">
        <v>1</v>
      </c>
      <c r="G106" t="s">
        <v>167</v>
      </c>
      <c r="H106">
        <f>TIMEVALUE(SUBSTITUTE(SUBSTITUTE(_5__DAILY_USAGE_TREND[[#This Row],[TOTAL_DURATION]],"hour",":"),"min",""))</f>
        <v>0.6791666666666667</v>
      </c>
    </row>
    <row r="107" spans="1:8" x14ac:dyDescent="0.3">
      <c r="A107" s="1">
        <v>45185</v>
      </c>
      <c r="B107">
        <v>1</v>
      </c>
      <c r="C107">
        <v>1</v>
      </c>
      <c r="D107">
        <v>4</v>
      </c>
      <c r="E107">
        <v>865</v>
      </c>
      <c r="F107">
        <v>1</v>
      </c>
      <c r="G107" t="s">
        <v>168</v>
      </c>
      <c r="H107">
        <f>TIMEVALUE(SUBSTITUTE(SUBSTITUTE(_5__DAILY_USAGE_TREND[[#This Row],[TOTAL_DURATION]],"hour",":"),"min",""))</f>
        <v>0.28888888888888886</v>
      </c>
    </row>
    <row r="108" spans="1:8" x14ac:dyDescent="0.3">
      <c r="A108" s="1">
        <v>45186</v>
      </c>
      <c r="B108">
        <v>2</v>
      </c>
      <c r="C108">
        <v>2</v>
      </c>
      <c r="D108">
        <v>5</v>
      </c>
      <c r="E108">
        <v>2118</v>
      </c>
      <c r="F108">
        <v>2</v>
      </c>
      <c r="G108" t="s">
        <v>169</v>
      </c>
      <c r="H108">
        <f>TIMEVALUE(SUBSTITUTE(SUBSTITUTE(_5__DAILY_USAGE_TREND[[#This Row],[TOTAL_DURATION]],"hour",":"),"min",""))</f>
        <v>7.8472222222222221E-2</v>
      </c>
    </row>
    <row r="109" spans="1:8" x14ac:dyDescent="0.3">
      <c r="A109" s="1">
        <v>45187</v>
      </c>
      <c r="B109">
        <v>1</v>
      </c>
      <c r="C109">
        <v>1</v>
      </c>
      <c r="D109">
        <v>5</v>
      </c>
      <c r="E109">
        <v>1704</v>
      </c>
      <c r="F109">
        <v>1</v>
      </c>
      <c r="G109" t="s">
        <v>170</v>
      </c>
      <c r="H109">
        <f>TIMEVALUE(SUBSTITUTE(SUBSTITUTE(_5__DAILY_USAGE_TREND[[#This Row],[TOTAL_DURATION]],"hour",":"),"min",""))</f>
        <v>0.3298611111111111</v>
      </c>
    </row>
    <row r="110" spans="1:8" x14ac:dyDescent="0.3">
      <c r="A110" s="1">
        <v>45188</v>
      </c>
      <c r="B110">
        <v>3</v>
      </c>
      <c r="C110">
        <v>2</v>
      </c>
      <c r="D110">
        <v>8</v>
      </c>
      <c r="E110">
        <v>3498</v>
      </c>
      <c r="F110">
        <v>3</v>
      </c>
      <c r="G110" t="s">
        <v>171</v>
      </c>
      <c r="H110">
        <f>TIMEVALUE(SUBSTITUTE(SUBSTITUTE(_5__DAILY_USAGE_TREND[[#This Row],[TOTAL_DURATION]],"hour",":"),"min",""))</f>
        <v>8.8888888888888892E-2</v>
      </c>
    </row>
    <row r="111" spans="1:8" x14ac:dyDescent="0.3">
      <c r="A111" s="1">
        <v>45189</v>
      </c>
      <c r="B111">
        <v>1</v>
      </c>
      <c r="C111">
        <v>1</v>
      </c>
      <c r="D111">
        <v>1</v>
      </c>
      <c r="E111">
        <v>522</v>
      </c>
      <c r="F111">
        <v>1</v>
      </c>
      <c r="G111" t="s">
        <v>89</v>
      </c>
      <c r="H111">
        <f>TIMEVALUE(SUBSTITUTE(SUBSTITUTE(_5__DAILY_USAGE_TREND[[#This Row],[TOTAL_DURATION]],"hour",":"),"min",""))</f>
        <v>8.3333333333333332E-3</v>
      </c>
    </row>
    <row r="112" spans="1:8" x14ac:dyDescent="0.3">
      <c r="A112" s="1">
        <v>45191</v>
      </c>
      <c r="B112">
        <v>1</v>
      </c>
      <c r="C112">
        <v>1</v>
      </c>
      <c r="D112">
        <v>2</v>
      </c>
      <c r="E112">
        <v>1212</v>
      </c>
      <c r="F112">
        <v>1</v>
      </c>
      <c r="G112" t="s">
        <v>172</v>
      </c>
      <c r="H112">
        <f>TIMEVALUE(SUBSTITUTE(SUBSTITUTE(_5__DAILY_USAGE_TREND[[#This Row],[TOTAL_DURATION]],"hour",":"),"min",""))</f>
        <v>0.15972222222222221</v>
      </c>
    </row>
    <row r="113" spans="1:8" x14ac:dyDescent="0.3">
      <c r="A113" s="1">
        <v>45192</v>
      </c>
      <c r="B113">
        <v>1</v>
      </c>
      <c r="C113">
        <v>1</v>
      </c>
      <c r="D113">
        <v>3</v>
      </c>
      <c r="E113">
        <v>1032</v>
      </c>
      <c r="F113">
        <v>1</v>
      </c>
      <c r="G113" t="s">
        <v>173</v>
      </c>
      <c r="H113">
        <f>TIMEVALUE(SUBSTITUTE(SUBSTITUTE(_5__DAILY_USAGE_TREND[[#This Row],[TOTAL_DURATION]],"hour",":"),"min",""))</f>
        <v>0.1</v>
      </c>
    </row>
    <row r="114" spans="1:8" x14ac:dyDescent="0.3">
      <c r="A114" s="1">
        <v>45193</v>
      </c>
      <c r="B114">
        <v>1</v>
      </c>
      <c r="C114">
        <v>1</v>
      </c>
      <c r="D114">
        <v>4</v>
      </c>
      <c r="E114">
        <v>1408</v>
      </c>
      <c r="F114">
        <v>1</v>
      </c>
      <c r="G114" t="s">
        <v>150</v>
      </c>
      <c r="H114">
        <f>TIMEVALUE(SUBSTITUTE(SUBSTITUTE(_5__DAILY_USAGE_TREND[[#This Row],[TOTAL_DURATION]],"hour",":"),"min",""))</f>
        <v>5.2777777777777778E-2</v>
      </c>
    </row>
    <row r="115" spans="1:8" x14ac:dyDescent="0.3">
      <c r="A115" s="1">
        <v>45194</v>
      </c>
      <c r="B115">
        <v>1</v>
      </c>
      <c r="C115">
        <v>1</v>
      </c>
      <c r="D115">
        <v>3</v>
      </c>
      <c r="E115">
        <v>1333</v>
      </c>
      <c r="F115">
        <v>1</v>
      </c>
      <c r="G115" t="s">
        <v>34</v>
      </c>
      <c r="H115">
        <f>TIMEVALUE(SUBSTITUTE(SUBSTITUTE(_5__DAILY_USAGE_TREND[[#This Row],[TOTAL_DURATION]],"hour",":"),"min",""))</f>
        <v>6.0416666666666667E-2</v>
      </c>
    </row>
    <row r="116" spans="1:8" x14ac:dyDescent="0.3">
      <c r="A116" s="1">
        <v>45195</v>
      </c>
      <c r="B116">
        <v>1</v>
      </c>
      <c r="C116">
        <v>1</v>
      </c>
      <c r="D116">
        <v>2</v>
      </c>
      <c r="E116">
        <v>669</v>
      </c>
      <c r="F116">
        <v>1</v>
      </c>
      <c r="G116" t="s">
        <v>32</v>
      </c>
      <c r="H116">
        <f>TIMEVALUE(SUBSTITUTE(SUBSTITUTE(_5__DAILY_USAGE_TREND[[#This Row],[TOTAL_DURATION]],"hour",":"),"min",""))</f>
        <v>6.1111111111111109E-2</v>
      </c>
    </row>
    <row r="117" spans="1:8" x14ac:dyDescent="0.3">
      <c r="A117" s="1">
        <v>45196</v>
      </c>
      <c r="B117">
        <v>1</v>
      </c>
      <c r="C117">
        <v>1</v>
      </c>
      <c r="D117">
        <v>3</v>
      </c>
      <c r="E117">
        <v>1482</v>
      </c>
      <c r="F117">
        <v>1</v>
      </c>
      <c r="G117" t="s">
        <v>174</v>
      </c>
      <c r="H117">
        <f>TIMEVALUE(SUBSTITUTE(SUBSTITUTE(_5__DAILY_USAGE_TREND[[#This Row],[TOTAL_DURATION]],"hour",":"),"min",""))</f>
        <v>0.21041666666666667</v>
      </c>
    </row>
    <row r="118" spans="1:8" x14ac:dyDescent="0.3">
      <c r="A118" s="1">
        <v>45197</v>
      </c>
      <c r="B118">
        <v>2</v>
      </c>
      <c r="C118">
        <v>2</v>
      </c>
      <c r="D118">
        <v>4</v>
      </c>
      <c r="E118">
        <v>1310</v>
      </c>
      <c r="F118">
        <v>2</v>
      </c>
      <c r="G118" t="s">
        <v>175</v>
      </c>
      <c r="H118">
        <f>TIMEVALUE(SUBSTITUTE(SUBSTITUTE(_5__DAILY_USAGE_TREND[[#This Row],[TOTAL_DURATION]],"hour",":"),"min",""))</f>
        <v>0.47222222222222221</v>
      </c>
    </row>
    <row r="119" spans="1:8" x14ac:dyDescent="0.3">
      <c r="A119" s="1">
        <v>45198</v>
      </c>
      <c r="B119">
        <v>1</v>
      </c>
      <c r="C119">
        <v>1</v>
      </c>
      <c r="D119">
        <v>1</v>
      </c>
      <c r="E119">
        <v>271</v>
      </c>
      <c r="F119">
        <v>1</v>
      </c>
      <c r="G119" t="s">
        <v>176</v>
      </c>
      <c r="H119">
        <f>TIMEVALUE(SUBSTITUTE(SUBSTITUTE(_5__DAILY_USAGE_TREND[[#This Row],[TOTAL_DURATION]],"hour",":"),"min",""))</f>
        <v>0.05</v>
      </c>
    </row>
    <row r="120" spans="1:8" x14ac:dyDescent="0.3">
      <c r="A120" s="1">
        <v>45199</v>
      </c>
      <c r="B120">
        <v>3</v>
      </c>
      <c r="C120">
        <v>3</v>
      </c>
      <c r="D120">
        <v>7</v>
      </c>
      <c r="E120">
        <v>3126</v>
      </c>
      <c r="F120">
        <v>3</v>
      </c>
      <c r="G120" t="s">
        <v>177</v>
      </c>
      <c r="H120">
        <f>TIMEVALUE(SUBSTITUTE(SUBSTITUTE(_5__DAILY_USAGE_TREND[[#This Row],[TOTAL_DURATION]],"hour",":"),"min",""))</f>
        <v>0.41180555555555554</v>
      </c>
    </row>
    <row r="121" spans="1:8" x14ac:dyDescent="0.3">
      <c r="A121" s="1">
        <v>45200</v>
      </c>
      <c r="B121">
        <v>2</v>
      </c>
      <c r="C121">
        <v>2</v>
      </c>
      <c r="D121">
        <v>8</v>
      </c>
      <c r="E121">
        <v>3458</v>
      </c>
      <c r="F121">
        <v>2</v>
      </c>
      <c r="G121" t="s">
        <v>178</v>
      </c>
      <c r="H121">
        <f>TIMEVALUE(SUBSTITUTE(SUBSTITUTE(_5__DAILY_USAGE_TREND[[#This Row],[TOTAL_DURATION]],"hour",":"),"min",""))</f>
        <v>0.3347222222222222</v>
      </c>
    </row>
    <row r="122" spans="1:8" x14ac:dyDescent="0.3">
      <c r="A122" s="1">
        <v>45201</v>
      </c>
      <c r="B122">
        <v>1</v>
      </c>
      <c r="C122">
        <v>1</v>
      </c>
      <c r="D122">
        <v>7</v>
      </c>
      <c r="E122">
        <v>2512</v>
      </c>
      <c r="F122">
        <v>1</v>
      </c>
      <c r="G122" t="s">
        <v>179</v>
      </c>
      <c r="H122">
        <f>TIMEVALUE(SUBSTITUTE(SUBSTITUTE(_5__DAILY_USAGE_TREND[[#This Row],[TOTAL_DURATION]],"hour",":"),"min",""))</f>
        <v>0.13125000000000001</v>
      </c>
    </row>
    <row r="123" spans="1:8" x14ac:dyDescent="0.3">
      <c r="A123" s="1">
        <v>45203</v>
      </c>
      <c r="B123">
        <v>2</v>
      </c>
      <c r="C123">
        <v>1</v>
      </c>
      <c r="D123">
        <v>5</v>
      </c>
      <c r="E123">
        <v>2466</v>
      </c>
      <c r="F123">
        <v>2</v>
      </c>
      <c r="G123" t="s">
        <v>180</v>
      </c>
      <c r="H123">
        <f>TIMEVALUE(SUBSTITUTE(SUBSTITUTE(_5__DAILY_USAGE_TREND[[#This Row],[TOTAL_DURATION]],"hour",":"),"min",""))</f>
        <v>0.58263888888888893</v>
      </c>
    </row>
    <row r="124" spans="1:8" x14ac:dyDescent="0.3">
      <c r="A124" s="1">
        <v>45204</v>
      </c>
      <c r="B124">
        <v>3</v>
      </c>
      <c r="C124">
        <v>3</v>
      </c>
      <c r="D124">
        <v>7</v>
      </c>
      <c r="E124">
        <v>2503</v>
      </c>
      <c r="F124">
        <v>3</v>
      </c>
      <c r="G124" t="s">
        <v>181</v>
      </c>
      <c r="H124">
        <f>TIMEVALUE(SUBSTITUTE(SUBSTITUTE(_5__DAILY_USAGE_TREND[[#This Row],[TOTAL_DURATION]],"hour",":"),"min",""))</f>
        <v>0.38819444444444445</v>
      </c>
    </row>
    <row r="125" spans="1:8" x14ac:dyDescent="0.3">
      <c r="A125" s="1">
        <v>45206</v>
      </c>
      <c r="B125">
        <v>3</v>
      </c>
      <c r="C125">
        <v>2</v>
      </c>
      <c r="D125">
        <v>7</v>
      </c>
      <c r="E125">
        <v>2667</v>
      </c>
      <c r="F125">
        <v>3</v>
      </c>
      <c r="G125" t="s">
        <v>182</v>
      </c>
      <c r="H125">
        <f>TIMEVALUE(SUBSTITUTE(SUBSTITUTE(_5__DAILY_USAGE_TREND[[#This Row],[TOTAL_DURATION]],"hour",":"),"min",""))</f>
        <v>0.26944444444444443</v>
      </c>
    </row>
    <row r="126" spans="1:8" x14ac:dyDescent="0.3">
      <c r="A126" s="1">
        <v>45207</v>
      </c>
      <c r="B126">
        <v>2</v>
      </c>
      <c r="C126">
        <v>2</v>
      </c>
      <c r="D126">
        <v>7</v>
      </c>
      <c r="E126">
        <v>3174</v>
      </c>
      <c r="F126">
        <v>2</v>
      </c>
      <c r="G126" t="s">
        <v>183</v>
      </c>
      <c r="H126">
        <f>TIMEVALUE(SUBSTITUTE(SUBSTITUTE(_5__DAILY_USAGE_TREND[[#This Row],[TOTAL_DURATION]],"hour",":"),"min",""))</f>
        <v>0.36666666666666664</v>
      </c>
    </row>
    <row r="127" spans="1:8" x14ac:dyDescent="0.3">
      <c r="A127" s="1">
        <v>45209</v>
      </c>
      <c r="B127">
        <v>2</v>
      </c>
      <c r="C127">
        <v>2</v>
      </c>
      <c r="D127">
        <v>8</v>
      </c>
      <c r="E127">
        <v>2671</v>
      </c>
      <c r="F127">
        <v>2</v>
      </c>
      <c r="G127" t="s">
        <v>184</v>
      </c>
      <c r="H127">
        <f>TIMEVALUE(SUBSTITUTE(SUBSTITUTE(_5__DAILY_USAGE_TREND[[#This Row],[TOTAL_DURATION]],"hour",":"),"min",""))</f>
        <v>0.98888888888888893</v>
      </c>
    </row>
    <row r="128" spans="1:8" x14ac:dyDescent="0.3">
      <c r="A128" s="1">
        <v>45211</v>
      </c>
      <c r="B128">
        <v>1</v>
      </c>
      <c r="C128">
        <v>1</v>
      </c>
      <c r="D128">
        <v>5</v>
      </c>
      <c r="E128">
        <v>2017</v>
      </c>
      <c r="F128">
        <v>1</v>
      </c>
      <c r="G128" t="s">
        <v>116</v>
      </c>
      <c r="H128">
        <f>TIMEVALUE(SUBSTITUTE(SUBSTITUTE(_5__DAILY_USAGE_TREND[[#This Row],[TOTAL_DURATION]],"hour",":"),"min",""))</f>
        <v>9.375E-2</v>
      </c>
    </row>
    <row r="129" spans="1:8" x14ac:dyDescent="0.3">
      <c r="A129" s="1">
        <v>45212</v>
      </c>
      <c r="B129">
        <v>1</v>
      </c>
      <c r="C129">
        <v>1</v>
      </c>
      <c r="D129">
        <v>2</v>
      </c>
      <c r="E129">
        <v>989</v>
      </c>
      <c r="F129">
        <v>1</v>
      </c>
      <c r="G129" t="s">
        <v>185</v>
      </c>
      <c r="H129">
        <f>TIMEVALUE(SUBSTITUTE(SUBSTITUTE(_5__DAILY_USAGE_TREND[[#This Row],[TOTAL_DURATION]],"hour",":"),"min",""))</f>
        <v>1.8055555555555554E-2</v>
      </c>
    </row>
    <row r="130" spans="1:8" x14ac:dyDescent="0.3">
      <c r="A130" s="1">
        <v>45214</v>
      </c>
      <c r="B130">
        <v>1</v>
      </c>
      <c r="C130">
        <v>1</v>
      </c>
      <c r="D130">
        <v>3</v>
      </c>
      <c r="E130">
        <v>917</v>
      </c>
      <c r="F130">
        <v>1</v>
      </c>
      <c r="G130" t="s">
        <v>186</v>
      </c>
      <c r="H130">
        <f>TIMEVALUE(SUBSTITUTE(SUBSTITUTE(_5__DAILY_USAGE_TREND[[#This Row],[TOTAL_DURATION]],"hour",":"),"min",""))</f>
        <v>0.90625</v>
      </c>
    </row>
    <row r="131" spans="1:8" x14ac:dyDescent="0.3">
      <c r="A131" s="1">
        <v>45217</v>
      </c>
      <c r="B131">
        <v>1</v>
      </c>
      <c r="C131">
        <v>1</v>
      </c>
      <c r="D131">
        <v>2</v>
      </c>
      <c r="E131">
        <v>540</v>
      </c>
      <c r="F131">
        <v>1</v>
      </c>
      <c r="G131" t="s">
        <v>159</v>
      </c>
      <c r="H131">
        <f>TIMEVALUE(SUBSTITUTE(SUBSTITUTE(_5__DAILY_USAGE_TREND[[#This Row],[TOTAL_DURATION]],"hour",":"),"min",""))</f>
        <v>2.9166666666666667E-2</v>
      </c>
    </row>
    <row r="132" spans="1:8" x14ac:dyDescent="0.3">
      <c r="A132" s="1">
        <v>45218</v>
      </c>
      <c r="B132">
        <v>2</v>
      </c>
      <c r="C132">
        <v>2</v>
      </c>
      <c r="D132">
        <v>5</v>
      </c>
      <c r="E132">
        <v>2574</v>
      </c>
      <c r="F132">
        <v>2</v>
      </c>
      <c r="G132" t="s">
        <v>187</v>
      </c>
      <c r="H132">
        <f>TIMEVALUE(SUBSTITUTE(SUBSTITUTE(_5__DAILY_USAGE_TREND[[#This Row],[TOTAL_DURATION]],"hour",":"),"min",""))</f>
        <v>0.54166666666666663</v>
      </c>
    </row>
    <row r="133" spans="1:8" x14ac:dyDescent="0.3">
      <c r="A133" s="1">
        <v>45220</v>
      </c>
      <c r="B133">
        <v>3</v>
      </c>
      <c r="C133">
        <v>3</v>
      </c>
      <c r="D133">
        <v>9</v>
      </c>
      <c r="E133">
        <v>2708</v>
      </c>
      <c r="F133">
        <v>3</v>
      </c>
      <c r="G133" t="s">
        <v>188</v>
      </c>
      <c r="H133">
        <f>TIMEVALUE(SUBSTITUTE(SUBSTITUTE(_5__DAILY_USAGE_TREND[[#This Row],[TOTAL_DURATION]],"hour",":"),"min",""))</f>
        <v>0.18472222222222223</v>
      </c>
    </row>
    <row r="134" spans="1:8" x14ac:dyDescent="0.3">
      <c r="A134" s="1">
        <v>45221</v>
      </c>
      <c r="B134">
        <v>1</v>
      </c>
      <c r="C134">
        <v>1</v>
      </c>
      <c r="D134">
        <v>1</v>
      </c>
      <c r="E134">
        <v>171</v>
      </c>
      <c r="F134">
        <v>1</v>
      </c>
      <c r="G134" t="s">
        <v>151</v>
      </c>
      <c r="H134">
        <f>TIMEVALUE(SUBSTITUTE(SUBSTITUTE(_5__DAILY_USAGE_TREND[[#This Row],[TOTAL_DURATION]],"hour",":"),"min",""))</f>
        <v>0.1361111111111111</v>
      </c>
    </row>
    <row r="135" spans="1:8" x14ac:dyDescent="0.3">
      <c r="A135" s="1">
        <v>45222</v>
      </c>
      <c r="B135">
        <v>1</v>
      </c>
      <c r="C135">
        <v>1</v>
      </c>
      <c r="D135">
        <v>2</v>
      </c>
      <c r="E135">
        <v>632</v>
      </c>
      <c r="F135">
        <v>1</v>
      </c>
      <c r="G135" t="s">
        <v>189</v>
      </c>
      <c r="H135">
        <f>TIMEVALUE(SUBSTITUTE(SUBSTITUTE(_5__DAILY_USAGE_TREND[[#This Row],[TOTAL_DURATION]],"hour",":"),"min",""))</f>
        <v>0.41666666666666669</v>
      </c>
    </row>
    <row r="136" spans="1:8" x14ac:dyDescent="0.3">
      <c r="A136" s="1">
        <v>45223</v>
      </c>
      <c r="B136">
        <v>3</v>
      </c>
      <c r="C136">
        <v>3</v>
      </c>
      <c r="D136">
        <v>8</v>
      </c>
      <c r="E136">
        <v>3252</v>
      </c>
      <c r="F136">
        <v>3</v>
      </c>
      <c r="G136" t="s">
        <v>145</v>
      </c>
      <c r="H136">
        <f>TIMEVALUE(SUBSTITUTE(SUBSTITUTE(_5__DAILY_USAGE_TREND[[#This Row],[TOTAL_DURATION]],"hour",":"),"min",""))</f>
        <v>0.14305555555555555</v>
      </c>
    </row>
    <row r="137" spans="1:8" x14ac:dyDescent="0.3">
      <c r="A137" s="1">
        <v>45224</v>
      </c>
      <c r="B137">
        <v>1</v>
      </c>
      <c r="C137">
        <v>1</v>
      </c>
      <c r="D137">
        <v>2</v>
      </c>
      <c r="E137">
        <v>1056</v>
      </c>
      <c r="F137">
        <v>1</v>
      </c>
      <c r="G137" t="s">
        <v>190</v>
      </c>
      <c r="H137">
        <f>TIMEVALUE(SUBSTITUTE(SUBSTITUTE(_5__DAILY_USAGE_TREND[[#This Row],[TOTAL_DURATION]],"hour",":"),"min",""))</f>
        <v>0.52500000000000002</v>
      </c>
    </row>
    <row r="138" spans="1:8" x14ac:dyDescent="0.3">
      <c r="A138" s="1">
        <v>45225</v>
      </c>
      <c r="B138">
        <v>2</v>
      </c>
      <c r="C138">
        <v>2</v>
      </c>
      <c r="D138">
        <v>7</v>
      </c>
      <c r="E138">
        <v>2604</v>
      </c>
      <c r="F138">
        <v>2</v>
      </c>
      <c r="G138" t="s">
        <v>191</v>
      </c>
      <c r="H138">
        <f>TIMEVALUE(SUBSTITUTE(SUBSTITUTE(_5__DAILY_USAGE_TREND[[#This Row],[TOTAL_DURATION]],"hour",":"),"min",""))</f>
        <v>0.54652777777777772</v>
      </c>
    </row>
    <row r="139" spans="1:8" x14ac:dyDescent="0.3">
      <c r="A139" s="1">
        <v>45227</v>
      </c>
      <c r="B139">
        <v>1</v>
      </c>
      <c r="C139">
        <v>1</v>
      </c>
      <c r="D139">
        <v>3</v>
      </c>
      <c r="E139">
        <v>1276</v>
      </c>
      <c r="F139">
        <v>1</v>
      </c>
      <c r="G139" t="s">
        <v>192</v>
      </c>
      <c r="H139">
        <f>TIMEVALUE(SUBSTITUTE(SUBSTITUTE(_5__DAILY_USAGE_TREND[[#This Row],[TOTAL_DURATION]],"hour",":"),"min",""))</f>
        <v>2.0833333333333332E-2</v>
      </c>
    </row>
    <row r="140" spans="1:8" x14ac:dyDescent="0.3">
      <c r="A140" s="1">
        <v>45228</v>
      </c>
      <c r="B140">
        <v>1</v>
      </c>
      <c r="C140">
        <v>1</v>
      </c>
      <c r="D140">
        <v>2</v>
      </c>
      <c r="E140">
        <v>1026</v>
      </c>
      <c r="F140">
        <v>1</v>
      </c>
      <c r="G140" t="s">
        <v>193</v>
      </c>
      <c r="H140">
        <f>TIMEVALUE(SUBSTITUTE(SUBSTITUTE(_5__DAILY_USAGE_TREND[[#This Row],[TOTAL_DURATION]],"hour",":"),"min",""))</f>
        <v>0.11527777777777778</v>
      </c>
    </row>
    <row r="141" spans="1:8" x14ac:dyDescent="0.3">
      <c r="A141" s="1">
        <v>45229</v>
      </c>
      <c r="B141">
        <v>1</v>
      </c>
      <c r="C141">
        <v>1</v>
      </c>
      <c r="D141">
        <v>3</v>
      </c>
      <c r="E141">
        <v>1593</v>
      </c>
      <c r="F141">
        <v>1</v>
      </c>
      <c r="G141" t="s">
        <v>123</v>
      </c>
      <c r="H141">
        <f>TIMEVALUE(SUBSTITUTE(SUBSTITUTE(_5__DAILY_USAGE_TREND[[#This Row],[TOTAL_DURATION]],"hour",":"),"min",""))</f>
        <v>3.7499999999999999E-2</v>
      </c>
    </row>
    <row r="142" spans="1:8" x14ac:dyDescent="0.3">
      <c r="A142" s="1">
        <v>45230</v>
      </c>
      <c r="B142">
        <v>1</v>
      </c>
      <c r="C142">
        <v>1</v>
      </c>
      <c r="D142">
        <v>3</v>
      </c>
      <c r="E142">
        <v>1324</v>
      </c>
      <c r="F142">
        <v>1</v>
      </c>
      <c r="G142" t="s">
        <v>194</v>
      </c>
      <c r="H142">
        <f>TIMEVALUE(SUBSTITUTE(SUBSTITUTE(_5__DAILY_USAGE_TREND[[#This Row],[TOTAL_DURATION]],"hour",":"),"min",""))</f>
        <v>0.79166666666666663</v>
      </c>
    </row>
    <row r="143" spans="1:8" x14ac:dyDescent="0.3">
      <c r="A143" s="1">
        <v>45231</v>
      </c>
      <c r="B143">
        <v>4</v>
      </c>
      <c r="C143">
        <v>4</v>
      </c>
      <c r="D143">
        <v>13</v>
      </c>
      <c r="E143">
        <v>5303</v>
      </c>
      <c r="F143">
        <v>4</v>
      </c>
      <c r="G143" t="s">
        <v>195</v>
      </c>
      <c r="H143">
        <f>TIMEVALUE(SUBSTITUTE(SUBSTITUTE(_5__DAILY_USAGE_TREND[[#This Row],[TOTAL_DURATION]],"hour",":"),"min",""))</f>
        <v>0.62638888888888888</v>
      </c>
    </row>
    <row r="144" spans="1:8" x14ac:dyDescent="0.3">
      <c r="A144" s="1">
        <v>45232</v>
      </c>
      <c r="B144">
        <v>4</v>
      </c>
      <c r="C144">
        <v>3</v>
      </c>
      <c r="D144">
        <v>6</v>
      </c>
      <c r="E144">
        <v>1872</v>
      </c>
      <c r="F144">
        <v>4</v>
      </c>
      <c r="G144" t="s">
        <v>196</v>
      </c>
      <c r="H144">
        <f>TIMEVALUE(SUBSTITUTE(SUBSTITUTE(_5__DAILY_USAGE_TREND[[#This Row],[TOTAL_DURATION]],"hour",":"),"min",""))</f>
        <v>0.32291666666666669</v>
      </c>
    </row>
    <row r="145" spans="1:8" x14ac:dyDescent="0.3">
      <c r="A145" s="1">
        <v>45233</v>
      </c>
      <c r="B145">
        <v>3</v>
      </c>
      <c r="C145">
        <v>2</v>
      </c>
      <c r="D145">
        <v>9</v>
      </c>
      <c r="E145">
        <v>4111</v>
      </c>
      <c r="F145">
        <v>3</v>
      </c>
      <c r="G145" t="s">
        <v>197</v>
      </c>
      <c r="H145">
        <f>TIMEVALUE(SUBSTITUTE(SUBSTITUTE(_5__DAILY_USAGE_TREND[[#This Row],[TOTAL_DURATION]],"hour",":"),"min",""))</f>
        <v>0.16041666666666665</v>
      </c>
    </row>
    <row r="146" spans="1:8" x14ac:dyDescent="0.3">
      <c r="A146" s="1">
        <v>45234</v>
      </c>
      <c r="B146">
        <v>2</v>
      </c>
      <c r="C146">
        <v>2</v>
      </c>
      <c r="D146">
        <v>4</v>
      </c>
      <c r="E146">
        <v>1882</v>
      </c>
      <c r="F146">
        <v>2</v>
      </c>
      <c r="G146" t="s">
        <v>173</v>
      </c>
      <c r="H146">
        <f>TIMEVALUE(SUBSTITUTE(SUBSTITUTE(_5__DAILY_USAGE_TREND[[#This Row],[TOTAL_DURATION]],"hour",":"),"min",""))</f>
        <v>0.1</v>
      </c>
    </row>
    <row r="147" spans="1:8" x14ac:dyDescent="0.3">
      <c r="A147" s="1">
        <v>45237</v>
      </c>
      <c r="B147">
        <v>3</v>
      </c>
      <c r="C147">
        <v>3</v>
      </c>
      <c r="D147">
        <v>5</v>
      </c>
      <c r="E147">
        <v>1725</v>
      </c>
      <c r="F147">
        <v>3</v>
      </c>
      <c r="G147" t="s">
        <v>198</v>
      </c>
      <c r="H147">
        <f>TIMEVALUE(SUBSTITUTE(SUBSTITUTE(_5__DAILY_USAGE_TREND[[#This Row],[TOTAL_DURATION]],"hour",":"),"min",""))</f>
        <v>0.72499999999999998</v>
      </c>
    </row>
    <row r="148" spans="1:8" x14ac:dyDescent="0.3">
      <c r="A148" s="1">
        <v>45239</v>
      </c>
      <c r="B148">
        <v>1</v>
      </c>
      <c r="C148">
        <v>1</v>
      </c>
      <c r="D148">
        <v>2</v>
      </c>
      <c r="E148">
        <v>715</v>
      </c>
      <c r="F148">
        <v>1</v>
      </c>
      <c r="G148" t="s">
        <v>123</v>
      </c>
      <c r="H148">
        <f>TIMEVALUE(SUBSTITUTE(SUBSTITUTE(_5__DAILY_USAGE_TREND[[#This Row],[TOTAL_DURATION]],"hour",":"),"min",""))</f>
        <v>3.7499999999999999E-2</v>
      </c>
    </row>
    <row r="149" spans="1:8" x14ac:dyDescent="0.3">
      <c r="A149" s="1">
        <v>45240</v>
      </c>
      <c r="B149">
        <v>2</v>
      </c>
      <c r="C149">
        <v>2</v>
      </c>
      <c r="D149">
        <v>6</v>
      </c>
      <c r="E149">
        <v>1671</v>
      </c>
      <c r="F149">
        <v>2</v>
      </c>
      <c r="G149" t="s">
        <v>199</v>
      </c>
      <c r="H149">
        <f>TIMEVALUE(SUBSTITUTE(SUBSTITUTE(_5__DAILY_USAGE_TREND[[#This Row],[TOTAL_DURATION]],"hour",":"),"min",""))</f>
        <v>0.30625000000000002</v>
      </c>
    </row>
    <row r="150" spans="1:8" x14ac:dyDescent="0.3">
      <c r="A150" s="1">
        <v>45241</v>
      </c>
      <c r="B150">
        <v>1</v>
      </c>
      <c r="C150">
        <v>1</v>
      </c>
      <c r="D150">
        <v>1</v>
      </c>
      <c r="E150">
        <v>201</v>
      </c>
      <c r="F150">
        <v>1</v>
      </c>
      <c r="G150" t="s">
        <v>200</v>
      </c>
      <c r="H150">
        <f>TIMEVALUE(SUBSTITUTE(SUBSTITUTE(_5__DAILY_USAGE_TREND[[#This Row],[TOTAL_DURATION]],"hour",":"),"min",""))</f>
        <v>4.4444444444444446E-2</v>
      </c>
    </row>
    <row r="151" spans="1:8" x14ac:dyDescent="0.3">
      <c r="A151" s="1">
        <v>45243</v>
      </c>
      <c r="B151">
        <v>2</v>
      </c>
      <c r="C151">
        <v>2</v>
      </c>
      <c r="D151">
        <v>7</v>
      </c>
      <c r="E151">
        <v>3069</v>
      </c>
      <c r="F151">
        <v>2</v>
      </c>
      <c r="G151" t="s">
        <v>201</v>
      </c>
      <c r="H151">
        <f>TIMEVALUE(SUBSTITUTE(SUBSTITUTE(_5__DAILY_USAGE_TREND[[#This Row],[TOTAL_DURATION]],"hour",":"),"min",""))</f>
        <v>0.23125000000000001</v>
      </c>
    </row>
    <row r="152" spans="1:8" x14ac:dyDescent="0.3">
      <c r="A152" s="1">
        <v>45244</v>
      </c>
      <c r="B152">
        <v>4</v>
      </c>
      <c r="C152">
        <v>4</v>
      </c>
      <c r="D152">
        <v>12</v>
      </c>
      <c r="E152">
        <v>4638</v>
      </c>
      <c r="F152">
        <v>4</v>
      </c>
      <c r="G152" t="s">
        <v>202</v>
      </c>
      <c r="H152">
        <f>TIMEVALUE(SUBSTITUTE(SUBSTITUTE(_5__DAILY_USAGE_TREND[[#This Row],[TOTAL_DURATION]],"hour",":"),"min",""))</f>
        <v>0.88124999999999998</v>
      </c>
    </row>
    <row r="153" spans="1:8" x14ac:dyDescent="0.3">
      <c r="A153" s="1">
        <v>45245</v>
      </c>
      <c r="B153">
        <v>1</v>
      </c>
      <c r="C153">
        <v>1</v>
      </c>
      <c r="D153">
        <v>3</v>
      </c>
      <c r="E153">
        <v>807</v>
      </c>
      <c r="F153">
        <v>1</v>
      </c>
      <c r="G153" t="s">
        <v>203</v>
      </c>
      <c r="H153">
        <f>TIMEVALUE(SUBSTITUTE(SUBSTITUTE(_5__DAILY_USAGE_TREND[[#This Row],[TOTAL_DURATION]],"hour",":"),"min",""))</f>
        <v>0.13541666666666666</v>
      </c>
    </row>
    <row r="154" spans="1:8" x14ac:dyDescent="0.3">
      <c r="A154" s="1">
        <v>45247</v>
      </c>
      <c r="B154">
        <v>1</v>
      </c>
      <c r="C154">
        <v>1</v>
      </c>
      <c r="D154">
        <v>3</v>
      </c>
      <c r="E154">
        <v>680</v>
      </c>
      <c r="F154">
        <v>1</v>
      </c>
      <c r="G154" t="s">
        <v>132</v>
      </c>
      <c r="H154">
        <f>TIMEVALUE(SUBSTITUTE(SUBSTITUTE(_5__DAILY_USAGE_TREND[[#This Row],[TOTAL_DURATION]],"hour",":"),"min",""))</f>
        <v>4.583333333333333E-2</v>
      </c>
    </row>
    <row r="155" spans="1:8" x14ac:dyDescent="0.3">
      <c r="A155" s="1">
        <v>45248</v>
      </c>
      <c r="B155">
        <v>2</v>
      </c>
      <c r="C155">
        <v>1</v>
      </c>
      <c r="D155">
        <v>4</v>
      </c>
      <c r="E155">
        <v>1662</v>
      </c>
      <c r="F155">
        <v>2</v>
      </c>
      <c r="G155" t="s">
        <v>204</v>
      </c>
      <c r="H155">
        <f>TIMEVALUE(SUBSTITUTE(SUBSTITUTE(_5__DAILY_USAGE_TREND[[#This Row],[TOTAL_DURATION]],"hour",":"),"min",""))</f>
        <v>0.32222222222222224</v>
      </c>
    </row>
    <row r="156" spans="1:8" x14ac:dyDescent="0.3">
      <c r="A156" s="1">
        <v>45249</v>
      </c>
      <c r="B156">
        <v>3</v>
      </c>
      <c r="C156">
        <v>3</v>
      </c>
      <c r="D156">
        <v>4</v>
      </c>
      <c r="E156">
        <v>1296</v>
      </c>
      <c r="F156">
        <v>3</v>
      </c>
      <c r="G156" t="s">
        <v>98</v>
      </c>
      <c r="H156">
        <f>TIMEVALUE(SUBSTITUTE(SUBSTITUTE(_5__DAILY_USAGE_TREND[[#This Row],[TOTAL_DURATION]],"hour",":"),"min",""))</f>
        <v>9.166666666666666E-2</v>
      </c>
    </row>
    <row r="157" spans="1:8" x14ac:dyDescent="0.3">
      <c r="A157" s="1">
        <v>45250</v>
      </c>
      <c r="B157">
        <v>2</v>
      </c>
      <c r="C157">
        <v>1</v>
      </c>
      <c r="D157">
        <v>3</v>
      </c>
      <c r="E157">
        <v>665</v>
      </c>
      <c r="F157">
        <v>2</v>
      </c>
      <c r="G157" t="s">
        <v>205</v>
      </c>
      <c r="H157">
        <f>TIMEVALUE(SUBSTITUTE(SUBSTITUTE(_5__DAILY_USAGE_TREND[[#This Row],[TOTAL_DURATION]],"hour",":"),"min",""))</f>
        <v>0.12986111111111112</v>
      </c>
    </row>
    <row r="158" spans="1:8" x14ac:dyDescent="0.3">
      <c r="A158" s="1">
        <v>45251</v>
      </c>
      <c r="B158">
        <v>1</v>
      </c>
      <c r="C158">
        <v>1</v>
      </c>
      <c r="D158">
        <v>2</v>
      </c>
      <c r="E158">
        <v>746</v>
      </c>
      <c r="F158">
        <v>1</v>
      </c>
      <c r="G158" t="s">
        <v>206</v>
      </c>
      <c r="H158">
        <f>TIMEVALUE(SUBSTITUTE(SUBSTITUTE(_5__DAILY_USAGE_TREND[[#This Row],[TOTAL_DURATION]],"hour",":"),"min",""))</f>
        <v>0.14722222222222223</v>
      </c>
    </row>
    <row r="159" spans="1:8" x14ac:dyDescent="0.3">
      <c r="A159" s="1">
        <v>45252</v>
      </c>
      <c r="B159">
        <v>2</v>
      </c>
      <c r="C159">
        <v>1</v>
      </c>
      <c r="D159">
        <v>2</v>
      </c>
      <c r="E159">
        <v>898</v>
      </c>
      <c r="F159">
        <v>2</v>
      </c>
      <c r="G159" t="s">
        <v>207</v>
      </c>
      <c r="H159">
        <f>TIMEVALUE(SUBSTITUTE(SUBSTITUTE(_5__DAILY_USAGE_TREND[[#This Row],[TOTAL_DURATION]],"hour",":"),"min",""))</f>
        <v>0.21111111111111111</v>
      </c>
    </row>
    <row r="160" spans="1:8" x14ac:dyDescent="0.3">
      <c r="A160" s="1">
        <v>45253</v>
      </c>
      <c r="B160">
        <v>1</v>
      </c>
      <c r="C160">
        <v>1</v>
      </c>
      <c r="D160">
        <v>1</v>
      </c>
      <c r="E160">
        <v>495</v>
      </c>
      <c r="F160">
        <v>1</v>
      </c>
      <c r="G160" t="s">
        <v>122</v>
      </c>
      <c r="H160">
        <f>TIMEVALUE(SUBSTITUTE(SUBSTITUTE(_5__DAILY_USAGE_TREND[[#This Row],[TOTAL_DURATION]],"hour",":"),"min",""))</f>
        <v>2.013888888888889E-2</v>
      </c>
    </row>
    <row r="161" spans="1:8" x14ac:dyDescent="0.3">
      <c r="A161" s="1">
        <v>45254</v>
      </c>
      <c r="B161">
        <v>2</v>
      </c>
      <c r="C161">
        <v>2</v>
      </c>
      <c r="D161">
        <v>8</v>
      </c>
      <c r="E161">
        <v>1357</v>
      </c>
      <c r="F161">
        <v>2</v>
      </c>
      <c r="G161" t="s">
        <v>208</v>
      </c>
      <c r="H161">
        <f>TIMEVALUE(SUBSTITUTE(SUBSTITUTE(_5__DAILY_USAGE_TREND[[#This Row],[TOTAL_DURATION]],"hour",":"),"min",""))</f>
        <v>0.18611111111111112</v>
      </c>
    </row>
    <row r="162" spans="1:8" x14ac:dyDescent="0.3">
      <c r="A162" s="1">
        <v>45255</v>
      </c>
      <c r="B162">
        <v>1</v>
      </c>
      <c r="C162">
        <v>1</v>
      </c>
      <c r="D162">
        <v>1</v>
      </c>
      <c r="E162">
        <v>103</v>
      </c>
      <c r="F162">
        <v>1</v>
      </c>
      <c r="G162" t="s">
        <v>209</v>
      </c>
      <c r="H162">
        <f>TIMEVALUE(SUBSTITUTE(SUBSTITUTE(_5__DAILY_USAGE_TREND[[#This Row],[TOTAL_DURATION]],"hour",":"),"min",""))</f>
        <v>6.6666666666666666E-2</v>
      </c>
    </row>
    <row r="163" spans="1:8" x14ac:dyDescent="0.3">
      <c r="A163" s="1">
        <v>45256</v>
      </c>
      <c r="B163">
        <v>1</v>
      </c>
      <c r="C163">
        <v>1</v>
      </c>
      <c r="D163">
        <v>2</v>
      </c>
      <c r="E163">
        <v>851</v>
      </c>
      <c r="F163">
        <v>1</v>
      </c>
      <c r="G163" t="s">
        <v>210</v>
      </c>
      <c r="H163">
        <f>TIMEVALUE(SUBSTITUTE(SUBSTITUTE(_5__DAILY_USAGE_TREND[[#This Row],[TOTAL_DURATION]],"hour",":"),"min",""))</f>
        <v>0.16250000000000001</v>
      </c>
    </row>
    <row r="164" spans="1:8" x14ac:dyDescent="0.3">
      <c r="A164" s="1">
        <v>45258</v>
      </c>
      <c r="B164">
        <v>1</v>
      </c>
      <c r="C164">
        <v>1</v>
      </c>
      <c r="D164">
        <v>2</v>
      </c>
      <c r="E164">
        <v>446</v>
      </c>
      <c r="F164">
        <v>1</v>
      </c>
      <c r="G164" t="s">
        <v>176</v>
      </c>
      <c r="H164">
        <f>TIMEVALUE(SUBSTITUTE(SUBSTITUTE(_5__DAILY_USAGE_TREND[[#This Row],[TOTAL_DURATION]],"hour",":"),"min",""))</f>
        <v>0.05</v>
      </c>
    </row>
    <row r="165" spans="1:8" x14ac:dyDescent="0.3">
      <c r="A165" s="1">
        <v>45259</v>
      </c>
      <c r="B165">
        <v>3</v>
      </c>
      <c r="C165">
        <v>3</v>
      </c>
      <c r="D165">
        <v>6</v>
      </c>
      <c r="E165">
        <v>2488</v>
      </c>
      <c r="F165">
        <v>3</v>
      </c>
      <c r="G165" t="s">
        <v>211</v>
      </c>
      <c r="H165">
        <f>TIMEVALUE(SUBSTITUTE(SUBSTITUTE(_5__DAILY_USAGE_TREND[[#This Row],[TOTAL_DURATION]],"hour",":"),"min",""))</f>
        <v>0.68958333333333333</v>
      </c>
    </row>
    <row r="166" spans="1:8" x14ac:dyDescent="0.3">
      <c r="A166" s="1">
        <v>45260</v>
      </c>
      <c r="B166">
        <v>1</v>
      </c>
      <c r="C166">
        <v>1</v>
      </c>
      <c r="D166">
        <v>2</v>
      </c>
      <c r="E166">
        <v>402</v>
      </c>
      <c r="F166">
        <v>1</v>
      </c>
      <c r="G166" t="s">
        <v>159</v>
      </c>
      <c r="H166">
        <f>TIMEVALUE(SUBSTITUTE(SUBSTITUTE(_5__DAILY_USAGE_TREND[[#This Row],[TOTAL_DURATION]],"hour",":"),"min",""))</f>
        <v>2.9166666666666667E-2</v>
      </c>
    </row>
    <row r="167" spans="1:8" x14ac:dyDescent="0.3">
      <c r="A167" s="1">
        <v>45261</v>
      </c>
      <c r="B167">
        <v>2</v>
      </c>
      <c r="C167">
        <v>2</v>
      </c>
      <c r="D167">
        <v>5</v>
      </c>
      <c r="E167">
        <v>2120</v>
      </c>
      <c r="F167">
        <v>2</v>
      </c>
      <c r="G167" t="s">
        <v>212</v>
      </c>
      <c r="H167">
        <f>TIMEVALUE(SUBSTITUTE(SUBSTITUTE(_5__DAILY_USAGE_TREND[[#This Row],[TOTAL_DURATION]],"hour",":"),"min",""))</f>
        <v>0.62916666666666665</v>
      </c>
    </row>
    <row r="168" spans="1:8" x14ac:dyDescent="0.3">
      <c r="A168" s="1">
        <v>45262</v>
      </c>
      <c r="B168">
        <v>1</v>
      </c>
      <c r="C168">
        <v>1</v>
      </c>
      <c r="D168">
        <v>3</v>
      </c>
      <c r="E168">
        <v>1349</v>
      </c>
      <c r="F168">
        <v>1</v>
      </c>
      <c r="G168" t="s">
        <v>192</v>
      </c>
      <c r="H168">
        <f>TIMEVALUE(SUBSTITUTE(SUBSTITUTE(_5__DAILY_USAGE_TREND[[#This Row],[TOTAL_DURATION]],"hour",":"),"min",""))</f>
        <v>2.0833333333333332E-2</v>
      </c>
    </row>
    <row r="169" spans="1:8" x14ac:dyDescent="0.3">
      <c r="A169" s="1">
        <v>45263</v>
      </c>
      <c r="B169">
        <v>2</v>
      </c>
      <c r="C169">
        <v>2</v>
      </c>
      <c r="D169">
        <v>9</v>
      </c>
      <c r="E169">
        <v>3292</v>
      </c>
      <c r="F169">
        <v>2</v>
      </c>
      <c r="G169" t="s">
        <v>213</v>
      </c>
      <c r="H169">
        <f>TIMEVALUE(SUBSTITUTE(SUBSTITUTE(_5__DAILY_USAGE_TREND[[#This Row],[TOTAL_DURATION]],"hour",":"),"min",""))</f>
        <v>9.0972222222222232E-2</v>
      </c>
    </row>
    <row r="170" spans="1:8" x14ac:dyDescent="0.3">
      <c r="A170" s="1">
        <v>45265</v>
      </c>
      <c r="B170">
        <v>2</v>
      </c>
      <c r="C170">
        <v>2</v>
      </c>
      <c r="D170">
        <v>3</v>
      </c>
      <c r="E170">
        <v>1071</v>
      </c>
      <c r="F170">
        <v>2</v>
      </c>
      <c r="G170" t="s">
        <v>140</v>
      </c>
      <c r="H170">
        <f>TIMEVALUE(SUBSTITUTE(SUBSTITUTE(_5__DAILY_USAGE_TREND[[#This Row],[TOTAL_DURATION]],"hour",":"),"min",""))</f>
        <v>7.9861111111111105E-2</v>
      </c>
    </row>
    <row r="171" spans="1:8" x14ac:dyDescent="0.3">
      <c r="A171" s="1">
        <v>45266</v>
      </c>
      <c r="B171">
        <v>1</v>
      </c>
      <c r="C171">
        <v>1</v>
      </c>
      <c r="D171">
        <v>3</v>
      </c>
      <c r="E171">
        <v>1324</v>
      </c>
      <c r="F171">
        <v>1</v>
      </c>
      <c r="G171" t="s">
        <v>123</v>
      </c>
      <c r="H171">
        <f>TIMEVALUE(SUBSTITUTE(SUBSTITUTE(_5__DAILY_USAGE_TREND[[#This Row],[TOTAL_DURATION]],"hour",":"),"min",""))</f>
        <v>3.7499999999999999E-2</v>
      </c>
    </row>
    <row r="172" spans="1:8" x14ac:dyDescent="0.3">
      <c r="A172" s="1">
        <v>45269</v>
      </c>
      <c r="B172">
        <v>2</v>
      </c>
      <c r="C172">
        <v>2</v>
      </c>
      <c r="D172">
        <v>4</v>
      </c>
      <c r="E172">
        <v>1174</v>
      </c>
      <c r="F172">
        <v>2</v>
      </c>
      <c r="G172" t="s">
        <v>214</v>
      </c>
      <c r="H172">
        <f>TIMEVALUE(SUBSTITUTE(SUBSTITUTE(_5__DAILY_USAGE_TREND[[#This Row],[TOTAL_DURATION]],"hour",":"),"min",""))</f>
        <v>0.20972222222222223</v>
      </c>
    </row>
    <row r="173" spans="1:8" x14ac:dyDescent="0.3">
      <c r="A173" s="1">
        <v>45270</v>
      </c>
      <c r="B173">
        <v>2</v>
      </c>
      <c r="C173">
        <v>2</v>
      </c>
      <c r="D173">
        <v>4</v>
      </c>
      <c r="E173">
        <v>1437</v>
      </c>
      <c r="F173">
        <v>2</v>
      </c>
      <c r="G173" t="s">
        <v>215</v>
      </c>
      <c r="H173">
        <f>TIMEVALUE(SUBSTITUTE(SUBSTITUTE(_5__DAILY_USAGE_TREND[[#This Row],[TOTAL_DURATION]],"hour",":"),"min",""))</f>
        <v>0.125</v>
      </c>
    </row>
    <row r="174" spans="1:8" x14ac:dyDescent="0.3">
      <c r="A174" s="1">
        <v>45271</v>
      </c>
      <c r="B174">
        <v>1</v>
      </c>
      <c r="C174">
        <v>1</v>
      </c>
      <c r="D174">
        <v>2</v>
      </c>
      <c r="E174">
        <v>400</v>
      </c>
      <c r="F174">
        <v>1</v>
      </c>
      <c r="G174" t="s">
        <v>216</v>
      </c>
      <c r="H174">
        <f>TIMEVALUE(SUBSTITUTE(SUBSTITUTE(_5__DAILY_USAGE_TREND[[#This Row],[TOTAL_DURATION]],"hour",":"),"min",""))</f>
        <v>0.16666666666666666</v>
      </c>
    </row>
    <row r="175" spans="1:8" x14ac:dyDescent="0.3">
      <c r="A175" s="1">
        <v>45273</v>
      </c>
      <c r="B175">
        <v>1</v>
      </c>
      <c r="C175">
        <v>1</v>
      </c>
      <c r="D175">
        <v>3</v>
      </c>
      <c r="E175">
        <v>1188</v>
      </c>
      <c r="F175">
        <v>1</v>
      </c>
      <c r="G175" t="s">
        <v>159</v>
      </c>
      <c r="H175">
        <f>TIMEVALUE(SUBSTITUTE(SUBSTITUTE(_5__DAILY_USAGE_TREND[[#This Row],[TOTAL_DURATION]],"hour",":"),"min",""))</f>
        <v>2.9166666666666667E-2</v>
      </c>
    </row>
    <row r="176" spans="1:8" x14ac:dyDescent="0.3">
      <c r="A176" s="1">
        <v>45274</v>
      </c>
      <c r="B176">
        <v>1</v>
      </c>
      <c r="C176">
        <v>1</v>
      </c>
      <c r="D176">
        <v>1</v>
      </c>
      <c r="E176">
        <v>723</v>
      </c>
      <c r="F176">
        <v>1</v>
      </c>
      <c r="G176" t="s">
        <v>217</v>
      </c>
      <c r="H176">
        <f>TIMEVALUE(SUBSTITUTE(SUBSTITUTE(_5__DAILY_USAGE_TREND[[#This Row],[TOTAL_DURATION]],"hour",":"),"min",""))</f>
        <v>0.22847222222222222</v>
      </c>
    </row>
    <row r="177" spans="1:8" x14ac:dyDescent="0.3">
      <c r="A177" s="1">
        <v>45275</v>
      </c>
      <c r="B177">
        <v>1</v>
      </c>
      <c r="C177">
        <v>1</v>
      </c>
      <c r="D177">
        <v>2</v>
      </c>
      <c r="E177">
        <v>411</v>
      </c>
      <c r="F177">
        <v>1</v>
      </c>
      <c r="G177" t="s">
        <v>218</v>
      </c>
      <c r="H177">
        <f>TIMEVALUE(SUBSTITUTE(SUBSTITUTE(_5__DAILY_USAGE_TREND[[#This Row],[TOTAL_DURATION]],"hour",":"),"min",""))</f>
        <v>3.6111111111111108E-2</v>
      </c>
    </row>
    <row r="178" spans="1:8" x14ac:dyDescent="0.3">
      <c r="A178" s="1">
        <v>45276</v>
      </c>
      <c r="B178">
        <v>3</v>
      </c>
      <c r="C178">
        <v>2</v>
      </c>
      <c r="D178">
        <v>9</v>
      </c>
      <c r="E178">
        <v>3885</v>
      </c>
      <c r="F178">
        <v>3</v>
      </c>
      <c r="G178" t="s">
        <v>219</v>
      </c>
      <c r="H178">
        <f>TIMEVALUE(SUBSTITUTE(SUBSTITUTE(_5__DAILY_USAGE_TREND[[#This Row],[TOTAL_DURATION]],"hour",":"),"min",""))</f>
        <v>0.25972222222222224</v>
      </c>
    </row>
    <row r="179" spans="1:8" x14ac:dyDescent="0.3">
      <c r="A179" s="1">
        <v>45278</v>
      </c>
      <c r="B179">
        <v>1</v>
      </c>
      <c r="C179">
        <v>1</v>
      </c>
      <c r="D179">
        <v>3</v>
      </c>
      <c r="E179">
        <v>1250</v>
      </c>
      <c r="F179">
        <v>1</v>
      </c>
      <c r="G179" t="s">
        <v>104</v>
      </c>
      <c r="H179">
        <f>TIMEVALUE(SUBSTITUTE(SUBSTITUTE(_5__DAILY_USAGE_TREND[[#This Row],[TOTAL_DURATION]],"hour",":"),"min",""))</f>
        <v>0.15416666666666667</v>
      </c>
    </row>
    <row r="180" spans="1:8" x14ac:dyDescent="0.3">
      <c r="A180" s="1">
        <v>45279</v>
      </c>
      <c r="B180">
        <v>2</v>
      </c>
      <c r="C180">
        <v>2</v>
      </c>
      <c r="D180">
        <v>7</v>
      </c>
      <c r="E180">
        <v>2051</v>
      </c>
      <c r="F180">
        <v>2</v>
      </c>
      <c r="G180" t="s">
        <v>220</v>
      </c>
      <c r="H180">
        <f>TIMEVALUE(SUBSTITUTE(SUBSTITUTE(_5__DAILY_USAGE_TREND[[#This Row],[TOTAL_DURATION]],"hour",":"),"min",""))</f>
        <v>0.11319444444444444</v>
      </c>
    </row>
    <row r="181" spans="1:8" x14ac:dyDescent="0.3">
      <c r="A181" s="1">
        <v>45281</v>
      </c>
      <c r="B181">
        <v>2</v>
      </c>
      <c r="C181">
        <v>2</v>
      </c>
      <c r="D181">
        <v>7</v>
      </c>
      <c r="E181">
        <v>2223</v>
      </c>
      <c r="F181">
        <v>2</v>
      </c>
      <c r="G181" t="s">
        <v>221</v>
      </c>
      <c r="H181">
        <f>TIMEVALUE(SUBSTITUTE(SUBSTITUTE(_5__DAILY_USAGE_TREND[[#This Row],[TOTAL_DURATION]],"hour",":"),"min",""))</f>
        <v>0.35138888888888886</v>
      </c>
    </row>
    <row r="182" spans="1:8" x14ac:dyDescent="0.3">
      <c r="A182" s="1">
        <v>45282</v>
      </c>
      <c r="B182">
        <v>3</v>
      </c>
      <c r="C182">
        <v>2</v>
      </c>
      <c r="D182">
        <v>10</v>
      </c>
      <c r="E182">
        <v>3661</v>
      </c>
      <c r="F182">
        <v>3</v>
      </c>
      <c r="G182" t="s">
        <v>222</v>
      </c>
      <c r="H182">
        <f>TIMEVALUE(SUBSTITUTE(SUBSTITUTE(_5__DAILY_USAGE_TREND[[#This Row],[TOTAL_DURATION]],"hour",":"),"min",""))</f>
        <v>0.21666666666666667</v>
      </c>
    </row>
    <row r="183" spans="1:8" x14ac:dyDescent="0.3">
      <c r="A183" s="1">
        <v>45283</v>
      </c>
      <c r="B183">
        <v>1</v>
      </c>
      <c r="C183">
        <v>1</v>
      </c>
      <c r="D183">
        <v>1</v>
      </c>
      <c r="E183">
        <v>577</v>
      </c>
      <c r="F183">
        <v>1</v>
      </c>
      <c r="G183" t="s">
        <v>223</v>
      </c>
      <c r="H183">
        <f>TIMEVALUE(SUBSTITUTE(SUBSTITUTE(_5__DAILY_USAGE_TREND[[#This Row],[TOTAL_DURATION]],"hour",":"),"min",""))</f>
        <v>0.23194444444444445</v>
      </c>
    </row>
    <row r="184" spans="1:8" x14ac:dyDescent="0.3">
      <c r="A184" s="1">
        <v>45284</v>
      </c>
      <c r="B184">
        <v>2</v>
      </c>
      <c r="C184">
        <v>2</v>
      </c>
      <c r="D184">
        <v>7</v>
      </c>
      <c r="E184">
        <v>3353</v>
      </c>
      <c r="F184">
        <v>2</v>
      </c>
      <c r="G184" t="s">
        <v>224</v>
      </c>
      <c r="H184">
        <f>TIMEVALUE(SUBSTITUTE(SUBSTITUTE(_5__DAILY_USAGE_TREND[[#This Row],[TOTAL_DURATION]],"hour",":"),"min",""))</f>
        <v>0.15208333333333332</v>
      </c>
    </row>
    <row r="185" spans="1:8" x14ac:dyDescent="0.3">
      <c r="A185" s="1">
        <v>45285</v>
      </c>
      <c r="B185">
        <v>2</v>
      </c>
      <c r="C185">
        <v>2</v>
      </c>
      <c r="D185">
        <v>5</v>
      </c>
      <c r="E185">
        <v>2457</v>
      </c>
      <c r="F185">
        <v>2</v>
      </c>
      <c r="G185" t="s">
        <v>225</v>
      </c>
      <c r="H185">
        <f>TIMEVALUE(SUBSTITUTE(SUBSTITUTE(_5__DAILY_USAGE_TREND[[#This Row],[TOTAL_DURATION]],"hour",":"),"min",""))</f>
        <v>4.6527777777777779E-2</v>
      </c>
    </row>
    <row r="186" spans="1:8" x14ac:dyDescent="0.3">
      <c r="A186" s="1">
        <v>45286</v>
      </c>
      <c r="B186">
        <v>2</v>
      </c>
      <c r="C186">
        <v>2</v>
      </c>
      <c r="D186">
        <v>4</v>
      </c>
      <c r="E186">
        <v>1779</v>
      </c>
      <c r="F186">
        <v>2</v>
      </c>
      <c r="G186" t="s">
        <v>101</v>
      </c>
      <c r="H186">
        <f>TIMEVALUE(SUBSTITUTE(SUBSTITUTE(_5__DAILY_USAGE_TREND[[#This Row],[TOTAL_DURATION]],"hour",":"),"min",""))</f>
        <v>0.24583333333333332</v>
      </c>
    </row>
    <row r="187" spans="1:8" x14ac:dyDescent="0.3">
      <c r="A187" s="1">
        <v>45287</v>
      </c>
      <c r="B187">
        <v>1</v>
      </c>
      <c r="C187">
        <v>1</v>
      </c>
      <c r="D187">
        <v>2</v>
      </c>
      <c r="E187">
        <v>894</v>
      </c>
      <c r="F187">
        <v>1</v>
      </c>
      <c r="G187" t="s">
        <v>127</v>
      </c>
      <c r="H187">
        <f>TIMEVALUE(SUBSTITUTE(SUBSTITUTE(_5__DAILY_USAGE_TREND[[#This Row],[TOTAL_DURATION]],"hour",":"),"min",""))</f>
        <v>2.7777777777777776E-2</v>
      </c>
    </row>
    <row r="188" spans="1:8" x14ac:dyDescent="0.3">
      <c r="A188" s="1">
        <v>45288</v>
      </c>
      <c r="B188">
        <v>3</v>
      </c>
      <c r="C188">
        <v>3</v>
      </c>
      <c r="D188">
        <v>6</v>
      </c>
      <c r="E188">
        <v>1792</v>
      </c>
      <c r="F188">
        <v>3</v>
      </c>
      <c r="G188" t="s">
        <v>226</v>
      </c>
      <c r="H188">
        <f>TIMEVALUE(SUBSTITUTE(SUBSTITUTE(_5__DAILY_USAGE_TREND[[#This Row],[TOTAL_DURATION]],"hour",":"),"min",""))</f>
        <v>0.31111111111111112</v>
      </c>
    </row>
    <row r="189" spans="1:8" x14ac:dyDescent="0.3">
      <c r="A189" s="1">
        <v>45289</v>
      </c>
      <c r="B189">
        <v>2</v>
      </c>
      <c r="C189">
        <v>2</v>
      </c>
      <c r="D189">
        <v>5</v>
      </c>
      <c r="E189">
        <v>2031</v>
      </c>
      <c r="F189">
        <v>2</v>
      </c>
      <c r="G189" t="s">
        <v>227</v>
      </c>
      <c r="H189">
        <f>TIMEVALUE(SUBSTITUTE(SUBSTITUTE(_5__DAILY_USAGE_TREND[[#This Row],[TOTAL_DURATION]],"hour",":"),"min",""))</f>
        <v>0.82430555555555551</v>
      </c>
    </row>
    <row r="190" spans="1:8" x14ac:dyDescent="0.3">
      <c r="A190" s="1">
        <v>45290</v>
      </c>
      <c r="B190">
        <v>4</v>
      </c>
      <c r="C190">
        <v>4</v>
      </c>
      <c r="D190">
        <v>9</v>
      </c>
      <c r="E190">
        <v>3303</v>
      </c>
      <c r="F190">
        <v>4</v>
      </c>
      <c r="G190" t="s">
        <v>134</v>
      </c>
      <c r="H190">
        <f>TIMEVALUE(SUBSTITUTE(SUBSTITUTE(_5__DAILY_USAGE_TREND[[#This Row],[TOTAL_DURATION]],"hour",":"),"min",""))</f>
        <v>0.1111111111111111</v>
      </c>
    </row>
    <row r="191" spans="1:8" x14ac:dyDescent="0.3">
      <c r="A191" s="1">
        <v>45291</v>
      </c>
      <c r="B191">
        <v>2</v>
      </c>
      <c r="C191">
        <v>2</v>
      </c>
      <c r="D191">
        <v>5</v>
      </c>
      <c r="E191">
        <v>1301</v>
      </c>
      <c r="F191">
        <v>2</v>
      </c>
      <c r="G191" t="s">
        <v>228</v>
      </c>
      <c r="H191">
        <f>TIMEVALUE(SUBSTITUTE(SUBSTITUTE(_5__DAILY_USAGE_TREND[[#This Row],[TOTAL_DURATION]],"hour",":"),"min",""))</f>
        <v>0.25694444444444442</v>
      </c>
    </row>
    <row r="192" spans="1:8" x14ac:dyDescent="0.3">
      <c r="A192" s="1">
        <v>45292</v>
      </c>
      <c r="B192">
        <v>1</v>
      </c>
      <c r="C192">
        <v>1</v>
      </c>
      <c r="D192">
        <v>2</v>
      </c>
      <c r="E192">
        <v>658</v>
      </c>
      <c r="F192">
        <v>1</v>
      </c>
      <c r="G192" t="s">
        <v>105</v>
      </c>
      <c r="H192">
        <f>TIMEVALUE(SUBSTITUTE(SUBSTITUTE(_5__DAILY_USAGE_TREND[[#This Row],[TOTAL_DURATION]],"hour",":"),"min",""))</f>
        <v>9.583333333333334E-2</v>
      </c>
    </row>
    <row r="193" spans="1:8" x14ac:dyDescent="0.3">
      <c r="A193" s="1">
        <v>45293</v>
      </c>
      <c r="B193">
        <v>3</v>
      </c>
      <c r="C193">
        <v>3</v>
      </c>
      <c r="D193">
        <v>5</v>
      </c>
      <c r="E193">
        <v>1964</v>
      </c>
      <c r="F193">
        <v>3</v>
      </c>
      <c r="G193" t="s">
        <v>229</v>
      </c>
      <c r="H193">
        <f>TIMEVALUE(SUBSTITUTE(SUBSTITUTE(_5__DAILY_USAGE_TREND[[#This Row],[TOTAL_DURATION]],"hour",":"),"min",""))</f>
        <v>0.44305555555555554</v>
      </c>
    </row>
    <row r="194" spans="1:8" x14ac:dyDescent="0.3">
      <c r="A194" s="1">
        <v>45294</v>
      </c>
      <c r="B194">
        <v>2</v>
      </c>
      <c r="C194">
        <v>2</v>
      </c>
      <c r="D194">
        <v>8</v>
      </c>
      <c r="E194">
        <v>3054</v>
      </c>
      <c r="F194">
        <v>2</v>
      </c>
      <c r="G194" t="s">
        <v>136</v>
      </c>
      <c r="H194">
        <f>TIMEVALUE(SUBSTITUTE(SUBSTITUTE(_5__DAILY_USAGE_TREND[[#This Row],[TOTAL_DURATION]],"hour",":"),"min",""))</f>
        <v>0.22500000000000001</v>
      </c>
    </row>
    <row r="195" spans="1:8" x14ac:dyDescent="0.3">
      <c r="A195" s="1">
        <v>45295</v>
      </c>
      <c r="B195">
        <v>4</v>
      </c>
      <c r="C195">
        <v>3</v>
      </c>
      <c r="D195">
        <v>9</v>
      </c>
      <c r="E195">
        <v>2586</v>
      </c>
      <c r="F195">
        <v>4</v>
      </c>
      <c r="G195" t="s">
        <v>230</v>
      </c>
      <c r="H195">
        <f>TIMEVALUE(SUBSTITUTE(SUBSTITUTE(_5__DAILY_USAGE_TREND[[#This Row],[TOTAL_DURATION]],"hour",":"),"min",""))</f>
        <v>0.43125000000000002</v>
      </c>
    </row>
    <row r="196" spans="1:8" x14ac:dyDescent="0.3">
      <c r="A196" s="1">
        <v>45296</v>
      </c>
      <c r="B196">
        <v>2</v>
      </c>
      <c r="C196">
        <v>2</v>
      </c>
      <c r="D196">
        <v>6</v>
      </c>
      <c r="E196">
        <v>2184</v>
      </c>
      <c r="F196">
        <v>2</v>
      </c>
      <c r="G196" t="s">
        <v>231</v>
      </c>
      <c r="H196">
        <f>TIMEVALUE(SUBSTITUTE(SUBSTITUTE(_5__DAILY_USAGE_TREND[[#This Row],[TOTAL_DURATION]],"hour",":"),"min",""))</f>
        <v>0.33750000000000002</v>
      </c>
    </row>
    <row r="197" spans="1:8" x14ac:dyDescent="0.3">
      <c r="A197" s="1">
        <v>45298</v>
      </c>
      <c r="B197">
        <v>1</v>
      </c>
      <c r="C197">
        <v>1</v>
      </c>
      <c r="D197">
        <v>1</v>
      </c>
      <c r="E197">
        <v>153</v>
      </c>
      <c r="F197">
        <v>1</v>
      </c>
      <c r="G197" t="s">
        <v>132</v>
      </c>
      <c r="H197">
        <f>TIMEVALUE(SUBSTITUTE(SUBSTITUTE(_5__DAILY_USAGE_TREND[[#This Row],[TOTAL_DURATION]],"hour",":"),"min",""))</f>
        <v>4.583333333333333E-2</v>
      </c>
    </row>
    <row r="198" spans="1:8" x14ac:dyDescent="0.3">
      <c r="A198" s="1">
        <v>45299</v>
      </c>
      <c r="B198">
        <v>2</v>
      </c>
      <c r="C198">
        <v>2</v>
      </c>
      <c r="D198">
        <v>2</v>
      </c>
      <c r="E198">
        <v>590</v>
      </c>
      <c r="F198">
        <v>2</v>
      </c>
      <c r="G198" t="s">
        <v>176</v>
      </c>
      <c r="H198">
        <f>TIMEVALUE(SUBSTITUTE(SUBSTITUTE(_5__DAILY_USAGE_TREND[[#This Row],[TOTAL_DURATION]],"hour",":"),"min",""))</f>
        <v>0.05</v>
      </c>
    </row>
    <row r="199" spans="1:8" x14ac:dyDescent="0.3">
      <c r="A199" s="1">
        <v>45300</v>
      </c>
      <c r="B199">
        <v>1</v>
      </c>
      <c r="C199">
        <v>1</v>
      </c>
      <c r="D199">
        <v>1</v>
      </c>
      <c r="E199">
        <v>127</v>
      </c>
      <c r="F199">
        <v>1</v>
      </c>
      <c r="G199" t="s">
        <v>232</v>
      </c>
      <c r="H199">
        <f>TIMEVALUE(SUBSTITUTE(SUBSTITUTE(_5__DAILY_USAGE_TREND[[#This Row],[TOTAL_DURATION]],"hour",":"),"min",""))</f>
        <v>6.9444444444444441E-3</v>
      </c>
    </row>
    <row r="200" spans="1:8" x14ac:dyDescent="0.3">
      <c r="A200" s="1">
        <v>45301</v>
      </c>
      <c r="B200">
        <v>4</v>
      </c>
      <c r="C200">
        <v>3</v>
      </c>
      <c r="D200">
        <v>10</v>
      </c>
      <c r="E200">
        <v>2851</v>
      </c>
      <c r="F200">
        <v>4</v>
      </c>
      <c r="G200" t="s">
        <v>233</v>
      </c>
      <c r="H200">
        <f>TIMEVALUE(SUBSTITUTE(SUBSTITUTE(_5__DAILY_USAGE_TREND[[#This Row],[TOTAL_DURATION]],"hour",":"),"min",""))</f>
        <v>0.46458333333333335</v>
      </c>
    </row>
    <row r="201" spans="1:8" x14ac:dyDescent="0.3">
      <c r="A201" s="1">
        <v>45302</v>
      </c>
      <c r="B201">
        <v>4</v>
      </c>
      <c r="C201">
        <v>3</v>
      </c>
      <c r="D201">
        <v>16</v>
      </c>
      <c r="E201">
        <v>6362</v>
      </c>
      <c r="F201">
        <v>4</v>
      </c>
      <c r="G201" t="s">
        <v>234</v>
      </c>
      <c r="H201">
        <f>TIMEVALUE(SUBSTITUTE(SUBSTITUTE(_5__DAILY_USAGE_TREND[[#This Row],[TOTAL_DURATION]],"hour",":"),"min",""))</f>
        <v>0.57777777777777772</v>
      </c>
    </row>
    <row r="202" spans="1:8" x14ac:dyDescent="0.3">
      <c r="A202" s="1">
        <v>45305</v>
      </c>
      <c r="B202">
        <v>2</v>
      </c>
      <c r="C202">
        <v>2</v>
      </c>
      <c r="D202">
        <v>6</v>
      </c>
      <c r="E202">
        <v>2225</v>
      </c>
      <c r="F202">
        <v>2</v>
      </c>
      <c r="G202" t="s">
        <v>235</v>
      </c>
      <c r="H202">
        <f>TIMEVALUE(SUBSTITUTE(SUBSTITUTE(_5__DAILY_USAGE_TREND[[#This Row],[TOTAL_DURATION]],"hour",":"),"min",""))</f>
        <v>0.21388888888888888</v>
      </c>
    </row>
    <row r="203" spans="1:8" x14ac:dyDescent="0.3">
      <c r="A203" s="1">
        <v>45306</v>
      </c>
      <c r="B203">
        <v>2</v>
      </c>
      <c r="C203">
        <v>2</v>
      </c>
      <c r="D203">
        <v>7</v>
      </c>
      <c r="E203">
        <v>3166</v>
      </c>
      <c r="F203">
        <v>2</v>
      </c>
      <c r="G203" t="s">
        <v>236</v>
      </c>
      <c r="H203">
        <f>TIMEVALUE(SUBSTITUTE(SUBSTITUTE(_5__DAILY_USAGE_TREND[[#This Row],[TOTAL_DURATION]],"hour",":"),"min",""))</f>
        <v>0.89375000000000004</v>
      </c>
    </row>
    <row r="204" spans="1:8" x14ac:dyDescent="0.3">
      <c r="A204" s="1">
        <v>45307</v>
      </c>
      <c r="B204">
        <v>1</v>
      </c>
      <c r="C204">
        <v>1</v>
      </c>
      <c r="D204">
        <v>4</v>
      </c>
      <c r="E204">
        <v>1280</v>
      </c>
      <c r="F204">
        <v>1</v>
      </c>
      <c r="G204" t="s">
        <v>173</v>
      </c>
      <c r="H204">
        <f>TIMEVALUE(SUBSTITUTE(SUBSTITUTE(_5__DAILY_USAGE_TREND[[#This Row],[TOTAL_DURATION]],"hour",":"),"min",""))</f>
        <v>0.1</v>
      </c>
    </row>
    <row r="205" spans="1:8" x14ac:dyDescent="0.3">
      <c r="A205" s="1">
        <v>45308</v>
      </c>
      <c r="B205">
        <v>2</v>
      </c>
      <c r="C205">
        <v>2</v>
      </c>
      <c r="D205">
        <v>6</v>
      </c>
      <c r="E205">
        <v>3161</v>
      </c>
      <c r="F205">
        <v>2</v>
      </c>
      <c r="G205" t="s">
        <v>237</v>
      </c>
      <c r="H205">
        <f>TIMEVALUE(SUBSTITUTE(SUBSTITUTE(_5__DAILY_USAGE_TREND[[#This Row],[TOTAL_DURATION]],"hour",":"),"min",""))</f>
        <v>0.81458333333333333</v>
      </c>
    </row>
    <row r="206" spans="1:8" x14ac:dyDescent="0.3">
      <c r="A206" s="1">
        <v>45309</v>
      </c>
      <c r="B206">
        <v>2</v>
      </c>
      <c r="C206">
        <v>2</v>
      </c>
      <c r="D206">
        <v>4</v>
      </c>
      <c r="E206">
        <v>1114</v>
      </c>
      <c r="F206">
        <v>2</v>
      </c>
      <c r="G206" t="s">
        <v>238</v>
      </c>
      <c r="H206">
        <f>TIMEVALUE(SUBSTITUTE(SUBSTITUTE(_5__DAILY_USAGE_TREND[[#This Row],[TOTAL_DURATION]],"hour",":"),"min",""))</f>
        <v>9.4444444444444442E-2</v>
      </c>
    </row>
    <row r="207" spans="1:8" x14ac:dyDescent="0.3">
      <c r="A207" s="1">
        <v>45310</v>
      </c>
      <c r="B207">
        <v>2</v>
      </c>
      <c r="C207">
        <v>2</v>
      </c>
      <c r="D207">
        <v>3</v>
      </c>
      <c r="E207">
        <v>721</v>
      </c>
      <c r="F207">
        <v>2</v>
      </c>
      <c r="G207" t="s">
        <v>239</v>
      </c>
      <c r="H207">
        <f>TIMEVALUE(SUBSTITUTE(SUBSTITUTE(_5__DAILY_USAGE_TREND[[#This Row],[TOTAL_DURATION]],"hour",":"),"min",""))</f>
        <v>8.0555555555555561E-2</v>
      </c>
    </row>
    <row r="208" spans="1:8" x14ac:dyDescent="0.3">
      <c r="A208" s="1">
        <v>45311</v>
      </c>
      <c r="B208">
        <v>4</v>
      </c>
      <c r="C208">
        <v>4</v>
      </c>
      <c r="D208">
        <v>9</v>
      </c>
      <c r="E208">
        <v>4007</v>
      </c>
      <c r="F208">
        <v>4</v>
      </c>
      <c r="G208" t="s">
        <v>240</v>
      </c>
      <c r="H208">
        <f>TIMEVALUE(SUBSTITUTE(SUBSTITUTE(_5__DAILY_USAGE_TREND[[#This Row],[TOTAL_DURATION]],"hour",":"),"min",""))</f>
        <v>0.19652777777777777</v>
      </c>
    </row>
    <row r="209" spans="1:8" x14ac:dyDescent="0.3">
      <c r="A209" s="1">
        <v>45314</v>
      </c>
      <c r="B209">
        <v>1</v>
      </c>
      <c r="C209">
        <v>1</v>
      </c>
      <c r="D209">
        <v>4</v>
      </c>
      <c r="E209">
        <v>916</v>
      </c>
      <c r="F209">
        <v>1</v>
      </c>
      <c r="G209" t="s">
        <v>241</v>
      </c>
      <c r="H209">
        <f>TIMEVALUE(SUBSTITUTE(SUBSTITUTE(_5__DAILY_USAGE_TREND[[#This Row],[TOTAL_DURATION]],"hour",":"),"min",""))</f>
        <v>6.9444444444444448E-2</v>
      </c>
    </row>
    <row r="210" spans="1:8" x14ac:dyDescent="0.3">
      <c r="A210" s="1">
        <v>45315</v>
      </c>
      <c r="B210">
        <v>1</v>
      </c>
      <c r="C210">
        <v>1</v>
      </c>
      <c r="D210">
        <v>4</v>
      </c>
      <c r="E210">
        <v>1494</v>
      </c>
      <c r="F210">
        <v>1</v>
      </c>
      <c r="G210" t="s">
        <v>242</v>
      </c>
      <c r="H210">
        <f>TIMEVALUE(SUBSTITUTE(SUBSTITUTE(_5__DAILY_USAGE_TREND[[#This Row],[TOTAL_DURATION]],"hour",":"),"min",""))</f>
        <v>0.17222222222222222</v>
      </c>
    </row>
    <row r="211" spans="1:8" x14ac:dyDescent="0.3">
      <c r="A211" s="1">
        <v>45319</v>
      </c>
      <c r="B211">
        <v>1</v>
      </c>
      <c r="C211">
        <v>1</v>
      </c>
      <c r="D211">
        <v>3</v>
      </c>
      <c r="E211">
        <v>1231</v>
      </c>
      <c r="F211">
        <v>1</v>
      </c>
      <c r="G211" t="s">
        <v>243</v>
      </c>
      <c r="H211">
        <f>TIMEVALUE(SUBSTITUTE(SUBSTITUTE(_5__DAILY_USAGE_TREND[[#This Row],[TOTAL_DURATION]],"hour",":"),"min",""))</f>
        <v>0.22708333333333333</v>
      </c>
    </row>
    <row r="212" spans="1:8" x14ac:dyDescent="0.3">
      <c r="A212" s="1">
        <v>45320</v>
      </c>
      <c r="B212">
        <v>1</v>
      </c>
      <c r="C212">
        <v>1</v>
      </c>
      <c r="D212">
        <v>2</v>
      </c>
      <c r="E212">
        <v>779</v>
      </c>
      <c r="F212">
        <v>1</v>
      </c>
      <c r="G212" t="s">
        <v>71</v>
      </c>
      <c r="H212">
        <f>TIMEVALUE(SUBSTITUTE(SUBSTITUTE(_5__DAILY_USAGE_TREND[[#This Row],[TOTAL_DURATION]],"hour",":"),"min",""))</f>
        <v>6.3888888888888884E-2</v>
      </c>
    </row>
    <row r="213" spans="1:8" x14ac:dyDescent="0.3">
      <c r="A213" s="1">
        <v>45321</v>
      </c>
      <c r="B213">
        <v>1</v>
      </c>
      <c r="C213">
        <v>1</v>
      </c>
      <c r="D213">
        <v>2</v>
      </c>
      <c r="E213">
        <v>689</v>
      </c>
      <c r="F213">
        <v>1</v>
      </c>
      <c r="G213" t="s">
        <v>143</v>
      </c>
      <c r="H213">
        <f>TIMEVALUE(SUBSTITUTE(SUBSTITUTE(_5__DAILY_USAGE_TREND[[#This Row],[TOTAL_DURATION]],"hour",":"),"min",""))</f>
        <v>1.2500000000000001E-2</v>
      </c>
    </row>
    <row r="214" spans="1:8" x14ac:dyDescent="0.3">
      <c r="A214" s="1">
        <v>45322</v>
      </c>
      <c r="B214">
        <v>1</v>
      </c>
      <c r="C214">
        <v>1</v>
      </c>
      <c r="D214">
        <v>2</v>
      </c>
      <c r="E214">
        <v>791</v>
      </c>
      <c r="F214">
        <v>1</v>
      </c>
      <c r="G214" t="s">
        <v>16</v>
      </c>
      <c r="H214">
        <f>TIMEVALUE(SUBSTITUTE(SUBSTITUTE(_5__DAILY_USAGE_TREND[[#This Row],[TOTAL_DURATION]],"hour",":"),"min",""))</f>
        <v>7.7777777777777779E-2</v>
      </c>
    </row>
    <row r="215" spans="1:8" x14ac:dyDescent="0.3">
      <c r="A215" s="1">
        <v>45323</v>
      </c>
      <c r="B215">
        <v>1</v>
      </c>
      <c r="C215">
        <v>1</v>
      </c>
      <c r="D215">
        <v>3</v>
      </c>
      <c r="E215">
        <v>1427</v>
      </c>
      <c r="F215">
        <v>1</v>
      </c>
      <c r="G215" t="s">
        <v>244</v>
      </c>
      <c r="H215">
        <f>TIMEVALUE(SUBSTITUTE(SUBSTITUTE(_5__DAILY_USAGE_TREND[[#This Row],[TOTAL_DURATION]],"hour",":"),"min",""))</f>
        <v>2.7083333333333334E-2</v>
      </c>
    </row>
    <row r="216" spans="1:8" x14ac:dyDescent="0.3">
      <c r="A216" s="1">
        <v>45324</v>
      </c>
      <c r="B216">
        <v>3</v>
      </c>
      <c r="C216">
        <v>3</v>
      </c>
      <c r="D216">
        <v>9</v>
      </c>
      <c r="E216">
        <v>3088</v>
      </c>
      <c r="F216">
        <v>3</v>
      </c>
      <c r="G216" t="s">
        <v>245</v>
      </c>
      <c r="H216">
        <f>TIMEVALUE(SUBSTITUTE(SUBSTITUTE(_5__DAILY_USAGE_TREND[[#This Row],[TOTAL_DURATION]],"hour",":"),"min",""))</f>
        <v>0.28541666666666665</v>
      </c>
    </row>
    <row r="217" spans="1:8" x14ac:dyDescent="0.3">
      <c r="A217" s="1">
        <v>45327</v>
      </c>
      <c r="B217">
        <v>1</v>
      </c>
      <c r="C217">
        <v>1</v>
      </c>
      <c r="D217">
        <v>3</v>
      </c>
      <c r="E217">
        <v>842</v>
      </c>
      <c r="F217">
        <v>1</v>
      </c>
      <c r="G217" t="s">
        <v>154</v>
      </c>
      <c r="H217">
        <f>TIMEVALUE(SUBSTITUTE(SUBSTITUTE(_5__DAILY_USAGE_TREND[[#This Row],[TOTAL_DURATION]],"hour",":"),"min",""))</f>
        <v>5.6250000000000001E-2</v>
      </c>
    </row>
    <row r="218" spans="1:8" x14ac:dyDescent="0.3">
      <c r="A218" s="1">
        <v>45328</v>
      </c>
      <c r="B218">
        <v>1</v>
      </c>
      <c r="C218">
        <v>1</v>
      </c>
      <c r="D218">
        <v>2</v>
      </c>
      <c r="E218">
        <v>419</v>
      </c>
      <c r="F218">
        <v>1</v>
      </c>
      <c r="G218" t="s">
        <v>246</v>
      </c>
      <c r="H218">
        <f>TIMEVALUE(SUBSTITUTE(SUBSTITUTE(_5__DAILY_USAGE_TREND[[#This Row],[TOTAL_DURATION]],"hour",":"),"min",""))</f>
        <v>2.5000000000000001E-2</v>
      </c>
    </row>
    <row r="219" spans="1:8" x14ac:dyDescent="0.3">
      <c r="A219" s="1">
        <v>45329</v>
      </c>
      <c r="B219">
        <v>4</v>
      </c>
      <c r="C219">
        <v>4</v>
      </c>
      <c r="D219">
        <v>6</v>
      </c>
      <c r="E219">
        <v>1923</v>
      </c>
      <c r="F219">
        <v>4</v>
      </c>
      <c r="G219" t="s">
        <v>247</v>
      </c>
      <c r="H219">
        <f>TIMEVALUE(SUBSTITUTE(SUBSTITUTE(_5__DAILY_USAGE_TREND[[#This Row],[TOTAL_DURATION]],"hour",":"),"min",""))</f>
        <v>0.84513888888888888</v>
      </c>
    </row>
    <row r="220" spans="1:8" x14ac:dyDescent="0.3">
      <c r="A220" s="1">
        <v>45330</v>
      </c>
      <c r="B220">
        <v>4</v>
      </c>
      <c r="C220">
        <v>3</v>
      </c>
      <c r="D220">
        <v>13</v>
      </c>
      <c r="E220">
        <v>4469</v>
      </c>
      <c r="F220">
        <v>4</v>
      </c>
      <c r="G220" t="s">
        <v>248</v>
      </c>
      <c r="H220">
        <f>TIMEVALUE(SUBSTITUTE(SUBSTITUTE(_5__DAILY_USAGE_TREND[[#This Row],[TOTAL_DURATION]],"hour",":"),"min",""))</f>
        <v>0.1986111111111111</v>
      </c>
    </row>
    <row r="221" spans="1:8" x14ac:dyDescent="0.3">
      <c r="A221" s="1">
        <v>45332</v>
      </c>
      <c r="B221">
        <v>1</v>
      </c>
      <c r="C221">
        <v>1</v>
      </c>
      <c r="D221">
        <v>1</v>
      </c>
      <c r="E221">
        <v>296</v>
      </c>
      <c r="F221">
        <v>1</v>
      </c>
      <c r="G221" t="s">
        <v>74</v>
      </c>
      <c r="H221">
        <f>TIMEVALUE(SUBSTITUTE(SUBSTITUTE(_5__DAILY_USAGE_TREND[[#This Row],[TOTAL_DURATION]],"hour",":"),"min",""))</f>
        <v>5.9722222222222225E-2</v>
      </c>
    </row>
    <row r="222" spans="1:8" x14ac:dyDescent="0.3">
      <c r="A222" s="1">
        <v>45333</v>
      </c>
      <c r="B222">
        <v>1</v>
      </c>
      <c r="C222">
        <v>1</v>
      </c>
      <c r="D222">
        <v>3</v>
      </c>
      <c r="E222">
        <v>1072</v>
      </c>
      <c r="F222">
        <v>1</v>
      </c>
      <c r="G222" t="s">
        <v>249</v>
      </c>
      <c r="H222">
        <f>TIMEVALUE(SUBSTITUTE(SUBSTITUTE(_5__DAILY_USAGE_TREND[[#This Row],[TOTAL_DURATION]],"hour",":"),"min",""))</f>
        <v>0.98750000000000004</v>
      </c>
    </row>
    <row r="223" spans="1:8" x14ac:dyDescent="0.3">
      <c r="A223" s="1">
        <v>45334</v>
      </c>
      <c r="B223">
        <v>1</v>
      </c>
      <c r="C223">
        <v>1</v>
      </c>
      <c r="D223">
        <v>1</v>
      </c>
      <c r="E223">
        <v>344</v>
      </c>
      <c r="F223">
        <v>1</v>
      </c>
      <c r="G223" t="s">
        <v>250</v>
      </c>
      <c r="H223">
        <f>TIMEVALUE(SUBSTITUTE(SUBSTITUTE(_5__DAILY_USAGE_TREND[[#This Row],[TOTAL_DURATION]],"hour",":"),"min",""))</f>
        <v>6.2500000000000003E-3</v>
      </c>
    </row>
    <row r="224" spans="1:8" x14ac:dyDescent="0.3">
      <c r="A224" s="1">
        <v>45335</v>
      </c>
      <c r="B224">
        <v>1</v>
      </c>
      <c r="C224">
        <v>1</v>
      </c>
      <c r="D224">
        <v>1</v>
      </c>
      <c r="E224">
        <v>277</v>
      </c>
      <c r="F224">
        <v>1</v>
      </c>
      <c r="G224" t="s">
        <v>251</v>
      </c>
      <c r="H224">
        <f>TIMEVALUE(SUBSTITUTE(SUBSTITUTE(_5__DAILY_USAGE_TREND[[#This Row],[TOTAL_DURATION]],"hour",":"),"min",""))</f>
        <v>7.9166666666666663E-2</v>
      </c>
    </row>
    <row r="225" spans="1:8" x14ac:dyDescent="0.3">
      <c r="A225" s="1">
        <v>45336</v>
      </c>
      <c r="B225">
        <v>1</v>
      </c>
      <c r="C225">
        <v>1</v>
      </c>
      <c r="D225">
        <v>1</v>
      </c>
      <c r="E225">
        <v>307</v>
      </c>
      <c r="F225">
        <v>1</v>
      </c>
      <c r="G225" t="s">
        <v>64</v>
      </c>
      <c r="H225">
        <f>TIMEVALUE(SUBSTITUTE(SUBSTITUTE(_5__DAILY_USAGE_TREND[[#This Row],[TOTAL_DURATION]],"hour",":"),"min",""))</f>
        <v>5.0694444444444445E-2</v>
      </c>
    </row>
    <row r="226" spans="1:8" x14ac:dyDescent="0.3">
      <c r="A226" s="1">
        <v>45337</v>
      </c>
      <c r="B226">
        <v>1</v>
      </c>
      <c r="C226">
        <v>1</v>
      </c>
      <c r="D226">
        <v>3</v>
      </c>
      <c r="E226">
        <v>512</v>
      </c>
      <c r="F226">
        <v>1</v>
      </c>
      <c r="G226" t="s">
        <v>108</v>
      </c>
      <c r="H226">
        <f>TIMEVALUE(SUBSTITUTE(SUBSTITUTE(_5__DAILY_USAGE_TREND[[#This Row],[TOTAL_DURATION]],"hour",":"),"min",""))</f>
        <v>1.6666666666666666E-2</v>
      </c>
    </row>
    <row r="227" spans="1:8" x14ac:dyDescent="0.3">
      <c r="A227" s="1">
        <v>45338</v>
      </c>
      <c r="B227">
        <v>2</v>
      </c>
      <c r="C227">
        <v>2</v>
      </c>
      <c r="D227">
        <v>5</v>
      </c>
      <c r="E227">
        <v>1272</v>
      </c>
      <c r="F227">
        <v>2</v>
      </c>
      <c r="G227" t="s">
        <v>32</v>
      </c>
      <c r="H227">
        <f>TIMEVALUE(SUBSTITUTE(SUBSTITUTE(_5__DAILY_USAGE_TREND[[#This Row],[TOTAL_DURATION]],"hour",":"),"min",""))</f>
        <v>6.1111111111111109E-2</v>
      </c>
    </row>
    <row r="228" spans="1:8" x14ac:dyDescent="0.3">
      <c r="A228" s="1">
        <v>45340</v>
      </c>
      <c r="B228">
        <v>3</v>
      </c>
      <c r="C228">
        <v>3</v>
      </c>
      <c r="D228">
        <v>10</v>
      </c>
      <c r="E228">
        <v>4026</v>
      </c>
      <c r="F228">
        <v>3</v>
      </c>
      <c r="G228" t="s">
        <v>252</v>
      </c>
      <c r="H228">
        <f>TIMEVALUE(SUBSTITUTE(SUBSTITUTE(_5__DAILY_USAGE_TREND[[#This Row],[TOTAL_DURATION]],"hour",":"),"min",""))</f>
        <v>0.78749999999999998</v>
      </c>
    </row>
    <row r="229" spans="1:8" x14ac:dyDescent="0.3">
      <c r="A229" s="1">
        <v>45341</v>
      </c>
      <c r="B229">
        <v>1</v>
      </c>
      <c r="C229">
        <v>1</v>
      </c>
      <c r="D229">
        <v>2</v>
      </c>
      <c r="E229">
        <v>818</v>
      </c>
      <c r="F229">
        <v>1</v>
      </c>
      <c r="G229" t="s">
        <v>253</v>
      </c>
      <c r="H229">
        <f>TIMEVALUE(SUBSTITUTE(SUBSTITUTE(_5__DAILY_USAGE_TREND[[#This Row],[TOTAL_DURATION]],"hour",":"),"min",""))</f>
        <v>0.44583333333333336</v>
      </c>
    </row>
    <row r="230" spans="1:8" x14ac:dyDescent="0.3">
      <c r="A230" s="1">
        <v>45342</v>
      </c>
      <c r="B230">
        <v>2</v>
      </c>
      <c r="C230">
        <v>2</v>
      </c>
      <c r="D230">
        <v>3</v>
      </c>
      <c r="E230">
        <v>1062</v>
      </c>
      <c r="F230">
        <v>2</v>
      </c>
      <c r="G230" t="s">
        <v>254</v>
      </c>
      <c r="H230">
        <f>TIMEVALUE(SUBSTITUTE(SUBSTITUTE(_5__DAILY_USAGE_TREND[[#This Row],[TOTAL_DURATION]],"hour",":"),"min",""))</f>
        <v>0.11874999999999999</v>
      </c>
    </row>
    <row r="231" spans="1:8" x14ac:dyDescent="0.3">
      <c r="A231" s="1">
        <v>45344</v>
      </c>
      <c r="B231">
        <v>4</v>
      </c>
      <c r="C231">
        <v>2</v>
      </c>
      <c r="D231">
        <v>12</v>
      </c>
      <c r="E231">
        <v>4827</v>
      </c>
      <c r="F231">
        <v>4</v>
      </c>
      <c r="G231" t="s">
        <v>255</v>
      </c>
      <c r="H231">
        <f>TIMEVALUE(SUBSTITUTE(SUBSTITUTE(_5__DAILY_USAGE_TREND[[#This Row],[TOTAL_DURATION]],"hour",":"),"min",""))</f>
        <v>0.87847222222222221</v>
      </c>
    </row>
    <row r="232" spans="1:8" x14ac:dyDescent="0.3">
      <c r="A232" s="1">
        <v>45345</v>
      </c>
      <c r="B232">
        <v>1</v>
      </c>
      <c r="C232">
        <v>1</v>
      </c>
      <c r="D232">
        <v>4</v>
      </c>
      <c r="E232">
        <v>1328</v>
      </c>
      <c r="F232">
        <v>1</v>
      </c>
      <c r="G232" t="s">
        <v>256</v>
      </c>
      <c r="H232">
        <f>TIMEVALUE(SUBSTITUTE(SUBSTITUTE(_5__DAILY_USAGE_TREND[[#This Row],[TOTAL_DURATION]],"hour",":"),"min",""))</f>
        <v>3.0555555555555555E-2</v>
      </c>
    </row>
    <row r="233" spans="1:8" x14ac:dyDescent="0.3">
      <c r="A233" s="1">
        <v>45346</v>
      </c>
      <c r="B233">
        <v>5</v>
      </c>
      <c r="C233">
        <v>5</v>
      </c>
      <c r="D233">
        <v>12</v>
      </c>
      <c r="E233">
        <v>3643</v>
      </c>
      <c r="F233">
        <v>5</v>
      </c>
      <c r="G233" t="s">
        <v>257</v>
      </c>
      <c r="H233">
        <f>TIMEVALUE(SUBSTITUTE(SUBSTITUTE(_5__DAILY_USAGE_TREND[[#This Row],[TOTAL_DURATION]],"hour",":"),"min",""))</f>
        <v>0.85069444444444442</v>
      </c>
    </row>
    <row r="234" spans="1:8" x14ac:dyDescent="0.3">
      <c r="A234" s="1">
        <v>45347</v>
      </c>
      <c r="B234">
        <v>1</v>
      </c>
      <c r="C234">
        <v>1</v>
      </c>
      <c r="D234">
        <v>1</v>
      </c>
      <c r="E234">
        <v>280</v>
      </c>
      <c r="F234">
        <v>1</v>
      </c>
      <c r="G234" t="s">
        <v>258</v>
      </c>
      <c r="H234">
        <f>TIMEVALUE(SUBSTITUTE(SUBSTITUTE(_5__DAILY_USAGE_TREND[[#This Row],[TOTAL_DURATION]],"hour",":"),"min",""))</f>
        <v>5.5555555555555558E-3</v>
      </c>
    </row>
    <row r="235" spans="1:8" x14ac:dyDescent="0.3">
      <c r="A235" s="1">
        <v>45348</v>
      </c>
      <c r="B235">
        <v>3</v>
      </c>
      <c r="C235">
        <v>3</v>
      </c>
      <c r="D235">
        <v>7</v>
      </c>
      <c r="E235">
        <v>3036</v>
      </c>
      <c r="F235">
        <v>3</v>
      </c>
      <c r="G235" t="s">
        <v>259</v>
      </c>
      <c r="H235">
        <f>TIMEVALUE(SUBSTITUTE(SUBSTITUTE(_5__DAILY_USAGE_TREND[[#This Row],[TOTAL_DURATION]],"hour",":"),"min",""))</f>
        <v>0.2590277777777778</v>
      </c>
    </row>
    <row r="236" spans="1:8" x14ac:dyDescent="0.3">
      <c r="A236" s="1">
        <v>45349</v>
      </c>
      <c r="B236">
        <v>2</v>
      </c>
      <c r="C236">
        <v>2</v>
      </c>
      <c r="D236">
        <v>3</v>
      </c>
      <c r="E236">
        <v>821</v>
      </c>
      <c r="F236">
        <v>2</v>
      </c>
      <c r="G236" t="s">
        <v>260</v>
      </c>
      <c r="H236">
        <f>TIMEVALUE(SUBSTITUTE(SUBSTITUTE(_5__DAILY_USAGE_TREND[[#This Row],[TOTAL_DURATION]],"hour",":"),"min",""))</f>
        <v>0.28333333333333333</v>
      </c>
    </row>
    <row r="237" spans="1:8" x14ac:dyDescent="0.3">
      <c r="A237" s="1">
        <v>45350</v>
      </c>
      <c r="B237">
        <v>2</v>
      </c>
      <c r="C237">
        <v>2</v>
      </c>
      <c r="D237">
        <v>3</v>
      </c>
      <c r="E237">
        <v>1088</v>
      </c>
      <c r="F237">
        <v>2</v>
      </c>
      <c r="G237" t="s">
        <v>261</v>
      </c>
      <c r="H237">
        <f>TIMEVALUE(SUBSTITUTE(SUBSTITUTE(_5__DAILY_USAGE_TREND[[#This Row],[TOTAL_DURATION]],"hour",":"),"min",""))</f>
        <v>9.0277777777777776E-2</v>
      </c>
    </row>
    <row r="238" spans="1:8" x14ac:dyDescent="0.3">
      <c r="A238" s="1">
        <v>45351</v>
      </c>
      <c r="B238">
        <v>3</v>
      </c>
      <c r="C238">
        <v>3</v>
      </c>
      <c r="D238">
        <v>4</v>
      </c>
      <c r="E238">
        <v>917</v>
      </c>
      <c r="F238">
        <v>3</v>
      </c>
      <c r="G238" t="s">
        <v>126</v>
      </c>
      <c r="H238">
        <f>TIMEVALUE(SUBSTITUTE(SUBSTITUTE(_5__DAILY_USAGE_TREND[[#This Row],[TOTAL_DURATION]],"hour",":"),"min",""))</f>
        <v>0.21319444444444444</v>
      </c>
    </row>
    <row r="239" spans="1:8" x14ac:dyDescent="0.3">
      <c r="A239" s="1">
        <v>45352</v>
      </c>
      <c r="B239">
        <v>2</v>
      </c>
      <c r="C239">
        <v>2</v>
      </c>
      <c r="D239">
        <v>10</v>
      </c>
      <c r="E239">
        <v>4395</v>
      </c>
      <c r="F239">
        <v>2</v>
      </c>
      <c r="G239" t="s">
        <v>262</v>
      </c>
      <c r="H239">
        <f>TIMEVALUE(SUBSTITUTE(SUBSTITUTE(_5__DAILY_USAGE_TREND[[#This Row],[TOTAL_DURATION]],"hour",":"),"min",""))</f>
        <v>0.18888888888888911</v>
      </c>
    </row>
    <row r="240" spans="1:8" x14ac:dyDescent="0.3">
      <c r="A240" s="1">
        <v>45354</v>
      </c>
      <c r="B240">
        <v>2</v>
      </c>
      <c r="C240">
        <v>2</v>
      </c>
      <c r="D240">
        <v>4</v>
      </c>
      <c r="E240">
        <v>1473</v>
      </c>
      <c r="F240">
        <v>2</v>
      </c>
      <c r="G240" t="s">
        <v>263</v>
      </c>
      <c r="H240">
        <f>TIMEVALUE(SUBSTITUTE(SUBSTITUTE(_5__DAILY_USAGE_TREND[[#This Row],[TOTAL_DURATION]],"hour",":"),"min",""))</f>
        <v>0.1125</v>
      </c>
    </row>
    <row r="241" spans="1:8" x14ac:dyDescent="0.3">
      <c r="A241" s="1">
        <v>45355</v>
      </c>
      <c r="B241">
        <v>2</v>
      </c>
      <c r="C241">
        <v>2</v>
      </c>
      <c r="D241">
        <v>5</v>
      </c>
      <c r="E241">
        <v>1395</v>
      </c>
      <c r="F241">
        <v>2</v>
      </c>
      <c r="G241" t="s">
        <v>264</v>
      </c>
      <c r="H241">
        <f>TIMEVALUE(SUBSTITUTE(SUBSTITUTE(_5__DAILY_USAGE_TREND[[#This Row],[TOTAL_DURATION]],"hour",":"),"min",""))</f>
        <v>0.10347222222222222</v>
      </c>
    </row>
    <row r="242" spans="1:8" x14ac:dyDescent="0.3">
      <c r="A242" s="1">
        <v>45356</v>
      </c>
      <c r="B242">
        <v>4</v>
      </c>
      <c r="C242">
        <v>4</v>
      </c>
      <c r="D242">
        <v>8</v>
      </c>
      <c r="E242">
        <v>3005</v>
      </c>
      <c r="F242">
        <v>4</v>
      </c>
      <c r="G242" t="s">
        <v>265</v>
      </c>
      <c r="H242">
        <f>TIMEVALUE(SUBSTITUTE(SUBSTITUTE(_5__DAILY_USAGE_TREND[[#This Row],[TOTAL_DURATION]],"hour",":"),"min",""))</f>
        <v>0.8979166666666667</v>
      </c>
    </row>
    <row r="243" spans="1:8" x14ac:dyDescent="0.3">
      <c r="A243" s="1">
        <v>45357</v>
      </c>
      <c r="B243">
        <v>1</v>
      </c>
      <c r="C243">
        <v>1</v>
      </c>
      <c r="D243">
        <v>3</v>
      </c>
      <c r="E243">
        <v>819</v>
      </c>
      <c r="F243">
        <v>1</v>
      </c>
      <c r="G243" t="s">
        <v>173</v>
      </c>
      <c r="H243">
        <f>TIMEVALUE(SUBSTITUTE(SUBSTITUTE(_5__DAILY_USAGE_TREND[[#This Row],[TOTAL_DURATION]],"hour",":"),"min",""))</f>
        <v>0.1</v>
      </c>
    </row>
    <row r="244" spans="1:8" x14ac:dyDescent="0.3">
      <c r="A244" s="1">
        <v>45358</v>
      </c>
      <c r="B244">
        <v>4</v>
      </c>
      <c r="C244">
        <v>4</v>
      </c>
      <c r="D244">
        <v>13</v>
      </c>
      <c r="E244">
        <v>4821</v>
      </c>
      <c r="F244">
        <v>4</v>
      </c>
      <c r="G244" t="s">
        <v>266</v>
      </c>
      <c r="H244">
        <f>TIMEVALUE(SUBSTITUTE(SUBSTITUTE(_5__DAILY_USAGE_TREND[[#This Row],[TOTAL_DURATION]],"hour",":"),"min",""))</f>
        <v>0.28263888888888888</v>
      </c>
    </row>
    <row r="245" spans="1:8" x14ac:dyDescent="0.3">
      <c r="A245" s="1">
        <v>45359</v>
      </c>
      <c r="B245">
        <v>1</v>
      </c>
      <c r="C245">
        <v>1</v>
      </c>
      <c r="D245">
        <v>3</v>
      </c>
      <c r="E245">
        <v>991</v>
      </c>
      <c r="F245">
        <v>1</v>
      </c>
      <c r="G245" t="s">
        <v>132</v>
      </c>
      <c r="H245">
        <f>TIMEVALUE(SUBSTITUTE(SUBSTITUTE(_5__DAILY_USAGE_TREND[[#This Row],[TOTAL_DURATION]],"hour",":"),"min",""))</f>
        <v>4.583333333333333E-2</v>
      </c>
    </row>
    <row r="246" spans="1:8" x14ac:dyDescent="0.3">
      <c r="A246" s="1">
        <v>45360</v>
      </c>
      <c r="B246">
        <v>2</v>
      </c>
      <c r="C246">
        <v>2</v>
      </c>
      <c r="D246">
        <v>4</v>
      </c>
      <c r="E246">
        <v>1103</v>
      </c>
      <c r="F246">
        <v>2</v>
      </c>
      <c r="G246" t="s">
        <v>41</v>
      </c>
      <c r="H246">
        <f>TIMEVALUE(SUBSTITUTE(SUBSTITUTE(_5__DAILY_USAGE_TREND[[#This Row],[TOTAL_DURATION]],"hour",":"),"min",""))</f>
        <v>7.6388888888888895E-2</v>
      </c>
    </row>
    <row r="247" spans="1:8" x14ac:dyDescent="0.3">
      <c r="A247" s="1">
        <v>45361</v>
      </c>
      <c r="B247">
        <v>6</v>
      </c>
      <c r="C247">
        <v>3</v>
      </c>
      <c r="D247">
        <v>17</v>
      </c>
      <c r="E247">
        <v>7065</v>
      </c>
      <c r="F247">
        <v>6</v>
      </c>
      <c r="G247" t="s">
        <v>267</v>
      </c>
      <c r="H247">
        <f>TIMEVALUE(SUBSTITUTE(SUBSTITUTE(_5__DAILY_USAGE_TREND[[#This Row],[TOTAL_DURATION]],"hour",":"),"min",""))</f>
        <v>0.32847222222222205</v>
      </c>
    </row>
    <row r="248" spans="1:8" x14ac:dyDescent="0.3">
      <c r="A248" s="1">
        <v>45362</v>
      </c>
      <c r="B248">
        <v>4</v>
      </c>
      <c r="C248">
        <v>4</v>
      </c>
      <c r="D248">
        <v>5</v>
      </c>
      <c r="E248">
        <v>1554</v>
      </c>
      <c r="F248">
        <v>4</v>
      </c>
      <c r="G248" t="s">
        <v>268</v>
      </c>
      <c r="H248">
        <f>TIMEVALUE(SUBSTITUTE(SUBSTITUTE(_5__DAILY_USAGE_TREND[[#This Row],[TOTAL_DURATION]],"hour",":"),"min",""))</f>
        <v>0.38541666666666669</v>
      </c>
    </row>
    <row r="249" spans="1:8" x14ac:dyDescent="0.3">
      <c r="A249" s="1">
        <v>45364</v>
      </c>
      <c r="B249">
        <v>3</v>
      </c>
      <c r="C249">
        <v>3</v>
      </c>
      <c r="D249">
        <v>10</v>
      </c>
      <c r="E249">
        <v>3843</v>
      </c>
      <c r="F249">
        <v>3</v>
      </c>
      <c r="G249" t="s">
        <v>269</v>
      </c>
      <c r="H249">
        <f>TIMEVALUE(SUBSTITUTE(SUBSTITUTE(_5__DAILY_USAGE_TREND[[#This Row],[TOTAL_DURATION]],"hour",":"),"min",""))</f>
        <v>0.55833333333333335</v>
      </c>
    </row>
    <row r="250" spans="1:8" x14ac:dyDescent="0.3">
      <c r="A250" s="1">
        <v>45365</v>
      </c>
      <c r="B250">
        <v>1</v>
      </c>
      <c r="C250">
        <v>1</v>
      </c>
      <c r="D250">
        <v>3</v>
      </c>
      <c r="E250">
        <v>652</v>
      </c>
      <c r="F250">
        <v>1</v>
      </c>
      <c r="G250" t="s">
        <v>270</v>
      </c>
      <c r="H250">
        <f>TIMEVALUE(SUBSTITUTE(SUBSTITUTE(_5__DAILY_USAGE_TREND[[#This Row],[TOTAL_DURATION]],"hour",":"),"min",""))</f>
        <v>8.5416666666666669E-2</v>
      </c>
    </row>
    <row r="251" spans="1:8" x14ac:dyDescent="0.3">
      <c r="A251" s="1">
        <v>45366</v>
      </c>
      <c r="B251">
        <v>2</v>
      </c>
      <c r="C251">
        <v>2</v>
      </c>
      <c r="D251">
        <v>3</v>
      </c>
      <c r="E251">
        <v>1269</v>
      </c>
      <c r="F251">
        <v>2</v>
      </c>
      <c r="G251" t="s">
        <v>271</v>
      </c>
      <c r="H251">
        <f>TIMEVALUE(SUBSTITUTE(SUBSTITUTE(_5__DAILY_USAGE_TREND[[#This Row],[TOTAL_DURATION]],"hour",":"),"min",""))</f>
        <v>9.3055555555555558E-2</v>
      </c>
    </row>
    <row r="252" spans="1:8" x14ac:dyDescent="0.3">
      <c r="A252" s="1">
        <v>45367</v>
      </c>
      <c r="B252">
        <v>3</v>
      </c>
      <c r="C252">
        <v>3</v>
      </c>
      <c r="D252">
        <v>5</v>
      </c>
      <c r="E252">
        <v>1770</v>
      </c>
      <c r="F252">
        <v>3</v>
      </c>
      <c r="G252" t="s">
        <v>272</v>
      </c>
      <c r="H252">
        <f>TIMEVALUE(SUBSTITUTE(SUBSTITUTE(_5__DAILY_USAGE_TREND[[#This Row],[TOTAL_DURATION]],"hour",":"),"min",""))</f>
        <v>0.12152777777777778</v>
      </c>
    </row>
    <row r="253" spans="1:8" x14ac:dyDescent="0.3">
      <c r="A253" s="1">
        <v>45368</v>
      </c>
      <c r="B253">
        <v>2</v>
      </c>
      <c r="C253">
        <v>2</v>
      </c>
      <c r="D253">
        <v>4</v>
      </c>
      <c r="E253">
        <v>1521</v>
      </c>
      <c r="F253">
        <v>2</v>
      </c>
      <c r="G253" t="s">
        <v>273</v>
      </c>
      <c r="H253">
        <f>TIMEVALUE(SUBSTITUTE(SUBSTITUTE(_5__DAILY_USAGE_TREND[[#This Row],[TOTAL_DURATION]],"hour",":"),"min",""))</f>
        <v>0.51527777777777772</v>
      </c>
    </row>
    <row r="254" spans="1:8" x14ac:dyDescent="0.3">
      <c r="A254" s="1">
        <v>45369</v>
      </c>
      <c r="B254">
        <v>3</v>
      </c>
      <c r="C254">
        <v>3</v>
      </c>
      <c r="D254">
        <v>5</v>
      </c>
      <c r="E254">
        <v>1732</v>
      </c>
      <c r="F254">
        <v>3</v>
      </c>
      <c r="G254" t="s">
        <v>274</v>
      </c>
      <c r="H254">
        <f>TIMEVALUE(SUBSTITUTE(SUBSTITUTE(_5__DAILY_USAGE_TREND[[#This Row],[TOTAL_DURATION]],"hour",":"),"min",""))</f>
        <v>0.28680555555555554</v>
      </c>
    </row>
    <row r="255" spans="1:8" x14ac:dyDescent="0.3">
      <c r="A255" s="1">
        <v>45370</v>
      </c>
      <c r="B255">
        <v>2</v>
      </c>
      <c r="C255">
        <v>2</v>
      </c>
      <c r="D255">
        <v>2</v>
      </c>
      <c r="E255">
        <v>899</v>
      </c>
      <c r="F255">
        <v>2</v>
      </c>
      <c r="G255" t="s">
        <v>275</v>
      </c>
      <c r="H255">
        <f>TIMEVALUE(SUBSTITUTE(SUBSTITUTE(_5__DAILY_USAGE_TREND[[#This Row],[TOTAL_DURATION]],"hour",":"),"min",""))</f>
        <v>0.10902777777777778</v>
      </c>
    </row>
    <row r="256" spans="1:8" x14ac:dyDescent="0.3">
      <c r="A256" s="1">
        <v>45371</v>
      </c>
      <c r="B256">
        <v>2</v>
      </c>
      <c r="C256">
        <v>2</v>
      </c>
      <c r="D256">
        <v>7</v>
      </c>
      <c r="E256">
        <v>3474</v>
      </c>
      <c r="F256">
        <v>2</v>
      </c>
      <c r="G256" t="s">
        <v>276</v>
      </c>
      <c r="H256">
        <f>TIMEVALUE(SUBSTITUTE(SUBSTITUTE(_5__DAILY_USAGE_TREND[[#This Row],[TOTAL_DURATION]],"hour",":"),"min",""))</f>
        <v>0.24166666666666667</v>
      </c>
    </row>
    <row r="257" spans="1:8" x14ac:dyDescent="0.3">
      <c r="A257" s="1">
        <v>45373</v>
      </c>
      <c r="B257">
        <v>2</v>
      </c>
      <c r="C257">
        <v>2</v>
      </c>
      <c r="D257">
        <v>3</v>
      </c>
      <c r="E257">
        <v>1202</v>
      </c>
      <c r="F257">
        <v>2</v>
      </c>
      <c r="G257" t="s">
        <v>92</v>
      </c>
      <c r="H257">
        <f>TIMEVALUE(SUBSTITUTE(SUBSTITUTE(_5__DAILY_USAGE_TREND[[#This Row],[TOTAL_DURATION]],"hour",":"),"min",""))</f>
        <v>7.4999999999999997E-2</v>
      </c>
    </row>
    <row r="258" spans="1:8" x14ac:dyDescent="0.3">
      <c r="A258" s="1">
        <v>45374</v>
      </c>
      <c r="B258">
        <v>2</v>
      </c>
      <c r="C258">
        <v>2</v>
      </c>
      <c r="D258">
        <v>5</v>
      </c>
      <c r="E258">
        <v>2155</v>
      </c>
      <c r="F258">
        <v>2</v>
      </c>
      <c r="G258" t="s">
        <v>277</v>
      </c>
      <c r="H258">
        <f>TIMEVALUE(SUBSTITUTE(SUBSTITUTE(_5__DAILY_USAGE_TREND[[#This Row],[TOTAL_DURATION]],"hour",":"),"min",""))</f>
        <v>7.5694444444444439E-2</v>
      </c>
    </row>
    <row r="259" spans="1:8" x14ac:dyDescent="0.3">
      <c r="A259" s="1">
        <v>45375</v>
      </c>
      <c r="B259">
        <v>3</v>
      </c>
      <c r="C259">
        <v>3</v>
      </c>
      <c r="D259">
        <v>5</v>
      </c>
      <c r="E259">
        <v>2904</v>
      </c>
      <c r="F259">
        <v>3</v>
      </c>
      <c r="G259" t="s">
        <v>278</v>
      </c>
      <c r="H259">
        <f>TIMEVALUE(SUBSTITUTE(SUBSTITUTE(_5__DAILY_USAGE_TREND[[#This Row],[TOTAL_DURATION]],"hour",":"),"min",""))</f>
        <v>0.1451388888888889</v>
      </c>
    </row>
    <row r="260" spans="1:8" x14ac:dyDescent="0.3">
      <c r="A260" s="1">
        <v>45376</v>
      </c>
      <c r="B260">
        <v>3</v>
      </c>
      <c r="C260">
        <v>3</v>
      </c>
      <c r="D260">
        <v>11</v>
      </c>
      <c r="E260">
        <v>3887</v>
      </c>
      <c r="F260">
        <v>3</v>
      </c>
      <c r="G260" t="s">
        <v>279</v>
      </c>
      <c r="H260">
        <f>TIMEVALUE(SUBSTITUTE(SUBSTITUTE(_5__DAILY_USAGE_TREND[[#This Row],[TOTAL_DURATION]],"hour",":"),"min",""))</f>
        <v>0.70625000000000004</v>
      </c>
    </row>
    <row r="261" spans="1:8" x14ac:dyDescent="0.3">
      <c r="A261" s="1">
        <v>45377</v>
      </c>
      <c r="B261">
        <v>4</v>
      </c>
      <c r="C261">
        <v>4</v>
      </c>
      <c r="D261">
        <v>10</v>
      </c>
      <c r="E261">
        <v>3680</v>
      </c>
      <c r="F261">
        <v>4</v>
      </c>
      <c r="G261" t="s">
        <v>280</v>
      </c>
      <c r="H261">
        <f>TIMEVALUE(SUBSTITUTE(SUBSTITUTE(_5__DAILY_USAGE_TREND[[#This Row],[TOTAL_DURATION]],"hour",":"),"min",""))</f>
        <v>0.36875000000000002</v>
      </c>
    </row>
    <row r="262" spans="1:8" x14ac:dyDescent="0.3">
      <c r="A262" s="1">
        <v>45378</v>
      </c>
      <c r="B262">
        <v>4</v>
      </c>
      <c r="C262">
        <v>3</v>
      </c>
      <c r="D262">
        <v>9</v>
      </c>
      <c r="E262">
        <v>3453</v>
      </c>
      <c r="F262">
        <v>4</v>
      </c>
      <c r="G262" t="s">
        <v>281</v>
      </c>
      <c r="H262">
        <f>TIMEVALUE(SUBSTITUTE(SUBSTITUTE(_5__DAILY_USAGE_TREND[[#This Row],[TOTAL_DURATION]],"hour",":"),"min",""))</f>
        <v>0.40694444444444444</v>
      </c>
    </row>
    <row r="263" spans="1:8" x14ac:dyDescent="0.3">
      <c r="A263" s="1">
        <v>45379</v>
      </c>
      <c r="B263">
        <v>1</v>
      </c>
      <c r="C263">
        <v>1</v>
      </c>
      <c r="D263">
        <v>4</v>
      </c>
      <c r="E263">
        <v>2042</v>
      </c>
      <c r="F263">
        <v>1</v>
      </c>
      <c r="G263" t="s">
        <v>256</v>
      </c>
      <c r="H263">
        <f>TIMEVALUE(SUBSTITUTE(SUBSTITUTE(_5__DAILY_USAGE_TREND[[#This Row],[TOTAL_DURATION]],"hour",":"),"min",""))</f>
        <v>3.0555555555555555E-2</v>
      </c>
    </row>
    <row r="264" spans="1:8" x14ac:dyDescent="0.3">
      <c r="A264" s="1">
        <v>45380</v>
      </c>
      <c r="B264">
        <v>2</v>
      </c>
      <c r="C264">
        <v>2</v>
      </c>
      <c r="D264">
        <v>10</v>
      </c>
      <c r="E264">
        <v>2696</v>
      </c>
      <c r="F264">
        <v>2</v>
      </c>
      <c r="G264" t="s">
        <v>282</v>
      </c>
      <c r="H264">
        <f>TIMEVALUE(SUBSTITUTE(SUBSTITUTE(_5__DAILY_USAGE_TREND[[#This Row],[TOTAL_DURATION]],"hour",":"),"min",""))</f>
        <v>0.74722222222222223</v>
      </c>
    </row>
    <row r="265" spans="1:8" x14ac:dyDescent="0.3">
      <c r="A265" s="1">
        <v>45381</v>
      </c>
      <c r="B265">
        <v>2</v>
      </c>
      <c r="C265">
        <v>2</v>
      </c>
      <c r="D265">
        <v>5</v>
      </c>
      <c r="E265">
        <v>2374</v>
      </c>
      <c r="F265">
        <v>2</v>
      </c>
      <c r="G265" t="s">
        <v>283</v>
      </c>
      <c r="H265">
        <f>TIMEVALUE(SUBSTITUTE(SUBSTITUTE(_5__DAILY_USAGE_TREND[[#This Row],[TOTAL_DURATION]],"hour",":"),"min",""))</f>
        <v>0.37083333333333335</v>
      </c>
    </row>
    <row r="266" spans="1:8" x14ac:dyDescent="0.3">
      <c r="A266" s="1">
        <v>45382</v>
      </c>
      <c r="B266">
        <v>1</v>
      </c>
      <c r="C266">
        <v>1</v>
      </c>
      <c r="D266">
        <v>1</v>
      </c>
      <c r="E266">
        <v>172</v>
      </c>
      <c r="F266">
        <v>1</v>
      </c>
      <c r="G266" t="s">
        <v>284</v>
      </c>
      <c r="H266">
        <f>TIMEVALUE(SUBSTITUTE(SUBSTITUTE(_5__DAILY_USAGE_TREND[[#This Row],[TOTAL_DURATION]],"hour",":"),"min",""))</f>
        <v>4.8611111111111112E-3</v>
      </c>
    </row>
    <row r="267" spans="1:8" x14ac:dyDescent="0.3">
      <c r="A267" s="1">
        <v>45383</v>
      </c>
      <c r="B267">
        <v>5</v>
      </c>
      <c r="C267">
        <v>5</v>
      </c>
      <c r="D267">
        <v>19</v>
      </c>
      <c r="E267">
        <v>5623</v>
      </c>
      <c r="F267">
        <v>5</v>
      </c>
      <c r="G267" t="s">
        <v>213</v>
      </c>
      <c r="H267">
        <f>TIMEVALUE(SUBSTITUTE(SUBSTITUTE(_5__DAILY_USAGE_TREND[[#This Row],[TOTAL_DURATION]],"hour",":"),"min",""))</f>
        <v>9.0972222222222232E-2</v>
      </c>
    </row>
    <row r="268" spans="1:8" x14ac:dyDescent="0.3">
      <c r="A268" s="1">
        <v>45384</v>
      </c>
      <c r="B268">
        <v>4</v>
      </c>
      <c r="C268">
        <v>4</v>
      </c>
      <c r="D268">
        <v>6</v>
      </c>
      <c r="E268">
        <v>3454</v>
      </c>
      <c r="F268">
        <v>4</v>
      </c>
      <c r="G268" t="s">
        <v>285</v>
      </c>
      <c r="H268">
        <f>TIMEVALUE(SUBSTITUTE(SUBSTITUTE(_5__DAILY_USAGE_TREND[[#This Row],[TOTAL_DURATION]],"hour",":"),"min",""))</f>
        <v>0.32430555555555562</v>
      </c>
    </row>
    <row r="269" spans="1:8" x14ac:dyDescent="0.3">
      <c r="A269" s="1">
        <v>45387</v>
      </c>
      <c r="B269">
        <v>2</v>
      </c>
      <c r="C269">
        <v>2</v>
      </c>
      <c r="D269">
        <v>4</v>
      </c>
      <c r="E269">
        <v>1210</v>
      </c>
      <c r="F269">
        <v>2</v>
      </c>
      <c r="G269" t="s">
        <v>286</v>
      </c>
      <c r="H269">
        <f>TIMEVALUE(SUBSTITUTE(SUBSTITUTE(_5__DAILY_USAGE_TREND[[#This Row],[TOTAL_DURATION]],"hour",":"),"min",""))</f>
        <v>0.11458333333333333</v>
      </c>
    </row>
    <row r="270" spans="1:8" x14ac:dyDescent="0.3">
      <c r="A270" s="1">
        <v>45388</v>
      </c>
      <c r="B270">
        <v>5</v>
      </c>
      <c r="C270">
        <v>5</v>
      </c>
      <c r="D270">
        <v>13</v>
      </c>
      <c r="E270">
        <v>4718</v>
      </c>
      <c r="F270">
        <v>5</v>
      </c>
      <c r="G270" t="s">
        <v>287</v>
      </c>
      <c r="H270">
        <f>TIMEVALUE(SUBSTITUTE(SUBSTITUTE(_5__DAILY_USAGE_TREND[[#This Row],[TOTAL_DURATION]],"hour",":"),"min",""))</f>
        <v>0.81180555555555556</v>
      </c>
    </row>
    <row r="271" spans="1:8" x14ac:dyDescent="0.3">
      <c r="A271" s="1">
        <v>45389</v>
      </c>
      <c r="B271">
        <v>3</v>
      </c>
      <c r="C271">
        <v>2</v>
      </c>
      <c r="D271">
        <v>6</v>
      </c>
      <c r="E271">
        <v>2710</v>
      </c>
      <c r="F271">
        <v>3</v>
      </c>
      <c r="G271" t="s">
        <v>288</v>
      </c>
      <c r="H271">
        <f>TIMEVALUE(SUBSTITUTE(SUBSTITUTE(_5__DAILY_USAGE_TREND[[#This Row],[TOTAL_DURATION]],"hour",":"),"min",""))</f>
        <v>0.34722222222222221</v>
      </c>
    </row>
    <row r="272" spans="1:8" x14ac:dyDescent="0.3">
      <c r="A272" s="1">
        <v>45390</v>
      </c>
      <c r="B272">
        <v>1</v>
      </c>
      <c r="C272">
        <v>1</v>
      </c>
      <c r="D272">
        <v>2</v>
      </c>
      <c r="E272">
        <v>335</v>
      </c>
      <c r="F272">
        <v>1</v>
      </c>
      <c r="G272" t="s">
        <v>261</v>
      </c>
      <c r="H272">
        <f>TIMEVALUE(SUBSTITUTE(SUBSTITUTE(_5__DAILY_USAGE_TREND[[#This Row],[TOTAL_DURATION]],"hour",":"),"min",""))</f>
        <v>9.0277777777777776E-2</v>
      </c>
    </row>
    <row r="273" spans="1:8" x14ac:dyDescent="0.3">
      <c r="A273" s="1">
        <v>45391</v>
      </c>
      <c r="B273">
        <v>3</v>
      </c>
      <c r="C273">
        <v>2</v>
      </c>
      <c r="D273">
        <v>3</v>
      </c>
      <c r="E273">
        <v>1345</v>
      </c>
      <c r="F273">
        <v>3</v>
      </c>
      <c r="G273" t="s">
        <v>238</v>
      </c>
      <c r="H273">
        <f>TIMEVALUE(SUBSTITUTE(SUBSTITUTE(_5__DAILY_USAGE_TREND[[#This Row],[TOTAL_DURATION]],"hour",":"),"min",""))</f>
        <v>9.4444444444444442E-2</v>
      </c>
    </row>
    <row r="274" spans="1:8" x14ac:dyDescent="0.3">
      <c r="A274" s="1">
        <v>45392</v>
      </c>
      <c r="B274">
        <v>4</v>
      </c>
      <c r="C274">
        <v>4</v>
      </c>
      <c r="D274">
        <v>9</v>
      </c>
      <c r="E274">
        <v>2998</v>
      </c>
      <c r="F274">
        <v>4</v>
      </c>
      <c r="G274" t="s">
        <v>289</v>
      </c>
      <c r="H274">
        <f>TIMEVALUE(SUBSTITUTE(SUBSTITUTE(_5__DAILY_USAGE_TREND[[#This Row],[TOTAL_DURATION]],"hour",":"),"min",""))</f>
        <v>0.48541666666666666</v>
      </c>
    </row>
    <row r="275" spans="1:8" x14ac:dyDescent="0.3">
      <c r="A275" s="1">
        <v>45393</v>
      </c>
      <c r="B275">
        <v>1</v>
      </c>
      <c r="C275">
        <v>1</v>
      </c>
      <c r="D275">
        <v>1</v>
      </c>
      <c r="E275">
        <v>525</v>
      </c>
      <c r="F275">
        <v>1</v>
      </c>
      <c r="G275" t="s">
        <v>100</v>
      </c>
      <c r="H275">
        <f>TIMEVALUE(SUBSTITUTE(SUBSTITUTE(_5__DAILY_USAGE_TREND[[#This Row],[TOTAL_DURATION]],"hour",":"),"min",""))</f>
        <v>2.2222222222222223E-2</v>
      </c>
    </row>
    <row r="276" spans="1:8" x14ac:dyDescent="0.3">
      <c r="A276" s="1">
        <v>45394</v>
      </c>
      <c r="B276">
        <v>2</v>
      </c>
      <c r="C276">
        <v>2</v>
      </c>
      <c r="D276">
        <v>7</v>
      </c>
      <c r="E276">
        <v>2590</v>
      </c>
      <c r="F276">
        <v>2</v>
      </c>
      <c r="G276" t="s">
        <v>168</v>
      </c>
      <c r="H276">
        <f>TIMEVALUE(SUBSTITUTE(SUBSTITUTE(_5__DAILY_USAGE_TREND[[#This Row],[TOTAL_DURATION]],"hour",":"),"min",""))</f>
        <v>0.28888888888888886</v>
      </c>
    </row>
    <row r="277" spans="1:8" x14ac:dyDescent="0.3">
      <c r="A277" s="1">
        <v>45395</v>
      </c>
      <c r="B277">
        <v>3</v>
      </c>
      <c r="C277">
        <v>3</v>
      </c>
      <c r="D277">
        <v>7</v>
      </c>
      <c r="E277">
        <v>1986</v>
      </c>
      <c r="F277">
        <v>3</v>
      </c>
      <c r="G277" t="s">
        <v>290</v>
      </c>
      <c r="H277">
        <f>TIMEVALUE(SUBSTITUTE(SUBSTITUTE(_5__DAILY_USAGE_TREND[[#This Row],[TOTAL_DURATION]],"hour",":"),"min",""))</f>
        <v>0.43263888888888891</v>
      </c>
    </row>
    <row r="278" spans="1:8" x14ac:dyDescent="0.3">
      <c r="A278" s="1">
        <v>45396</v>
      </c>
      <c r="B278">
        <v>1</v>
      </c>
      <c r="C278">
        <v>1</v>
      </c>
      <c r="D278">
        <v>1</v>
      </c>
      <c r="E278">
        <v>167</v>
      </c>
      <c r="F278">
        <v>1</v>
      </c>
      <c r="G278" t="s">
        <v>291</v>
      </c>
      <c r="H278">
        <f>TIMEVALUE(SUBSTITUTE(SUBSTITUTE(_5__DAILY_USAGE_TREND[[#This Row],[TOTAL_DURATION]],"hour",":"),"min",""))</f>
        <v>2.8472222222222222E-2</v>
      </c>
    </row>
    <row r="279" spans="1:8" x14ac:dyDescent="0.3">
      <c r="A279" s="1">
        <v>45398</v>
      </c>
      <c r="B279">
        <v>3</v>
      </c>
      <c r="C279">
        <v>2</v>
      </c>
      <c r="D279">
        <v>5</v>
      </c>
      <c r="E279">
        <v>1396</v>
      </c>
      <c r="F279">
        <v>3</v>
      </c>
      <c r="G279" t="s">
        <v>292</v>
      </c>
      <c r="H279">
        <f>TIMEVALUE(SUBSTITUTE(SUBSTITUTE(_5__DAILY_USAGE_TREND[[#This Row],[TOTAL_DURATION]],"hour",":"),"min",""))</f>
        <v>0.15</v>
      </c>
    </row>
    <row r="280" spans="1:8" x14ac:dyDescent="0.3">
      <c r="A280" s="1">
        <v>45399</v>
      </c>
      <c r="B280">
        <v>4</v>
      </c>
      <c r="C280">
        <v>3</v>
      </c>
      <c r="D280">
        <v>10</v>
      </c>
      <c r="E280">
        <v>4047</v>
      </c>
      <c r="F280">
        <v>4</v>
      </c>
      <c r="G280" t="s">
        <v>293</v>
      </c>
      <c r="H280">
        <f>TIMEVALUE(SUBSTITUTE(SUBSTITUTE(_5__DAILY_USAGE_TREND[[#This Row],[TOTAL_DURATION]],"hour",":"),"min",""))</f>
        <v>0.25069444444444455</v>
      </c>
    </row>
    <row r="281" spans="1:8" x14ac:dyDescent="0.3">
      <c r="A281" s="1">
        <v>45400</v>
      </c>
      <c r="B281">
        <v>2</v>
      </c>
      <c r="C281">
        <v>1</v>
      </c>
      <c r="D281">
        <v>2</v>
      </c>
      <c r="E281">
        <v>726</v>
      </c>
      <c r="F281">
        <v>2</v>
      </c>
      <c r="G281" t="s">
        <v>179</v>
      </c>
      <c r="H281">
        <f>TIMEVALUE(SUBSTITUTE(SUBSTITUTE(_5__DAILY_USAGE_TREND[[#This Row],[TOTAL_DURATION]],"hour",":"),"min",""))</f>
        <v>0.13125000000000001</v>
      </c>
    </row>
    <row r="282" spans="1:8" x14ac:dyDescent="0.3">
      <c r="A282" s="1">
        <v>45401</v>
      </c>
      <c r="B282">
        <v>4</v>
      </c>
      <c r="C282">
        <v>4</v>
      </c>
      <c r="D282">
        <v>11</v>
      </c>
      <c r="E282">
        <v>3387</v>
      </c>
      <c r="F282">
        <v>4</v>
      </c>
      <c r="G282" t="s">
        <v>294</v>
      </c>
      <c r="H282">
        <f>TIMEVALUE(SUBSTITUTE(SUBSTITUTE(_5__DAILY_USAGE_TREND[[#This Row],[TOTAL_DURATION]],"hour",":"),"min",""))</f>
        <v>0.57847222222222228</v>
      </c>
    </row>
    <row r="283" spans="1:8" x14ac:dyDescent="0.3">
      <c r="A283" s="1">
        <v>45402</v>
      </c>
      <c r="B283">
        <v>2</v>
      </c>
      <c r="C283">
        <v>2</v>
      </c>
      <c r="D283">
        <v>3</v>
      </c>
      <c r="E283">
        <v>979</v>
      </c>
      <c r="F283">
        <v>2</v>
      </c>
      <c r="G283" t="s">
        <v>295</v>
      </c>
      <c r="H283">
        <f>TIMEVALUE(SUBSTITUTE(SUBSTITUTE(_5__DAILY_USAGE_TREND[[#This Row],[TOTAL_DURATION]],"hour",":"),"min",""))</f>
        <v>0.35069444444444442</v>
      </c>
    </row>
    <row r="284" spans="1:8" x14ac:dyDescent="0.3">
      <c r="A284" s="1">
        <v>45403</v>
      </c>
      <c r="B284">
        <v>3</v>
      </c>
      <c r="C284">
        <v>3</v>
      </c>
      <c r="D284">
        <v>7</v>
      </c>
      <c r="E284">
        <v>2484</v>
      </c>
      <c r="F284">
        <v>3</v>
      </c>
      <c r="G284" t="s">
        <v>296</v>
      </c>
      <c r="H284">
        <f>TIMEVALUE(SUBSTITUTE(SUBSTITUTE(_5__DAILY_USAGE_TREND[[#This Row],[TOTAL_DURATION]],"hour",":"),"min",""))</f>
        <v>0.27013888888888887</v>
      </c>
    </row>
    <row r="285" spans="1:8" x14ac:dyDescent="0.3">
      <c r="A285" s="1">
        <v>45404</v>
      </c>
      <c r="B285">
        <v>2</v>
      </c>
      <c r="C285">
        <v>2</v>
      </c>
      <c r="D285">
        <v>3</v>
      </c>
      <c r="E285">
        <v>1018</v>
      </c>
      <c r="F285">
        <v>2</v>
      </c>
      <c r="G285" t="s">
        <v>297</v>
      </c>
      <c r="H285">
        <f>TIMEVALUE(SUBSTITUTE(SUBSTITUTE(_5__DAILY_USAGE_TREND[[#This Row],[TOTAL_DURATION]],"hour",":"),"min",""))</f>
        <v>0.13958333333333334</v>
      </c>
    </row>
    <row r="286" spans="1:8" x14ac:dyDescent="0.3">
      <c r="A286" s="1">
        <v>45405</v>
      </c>
      <c r="B286">
        <v>2</v>
      </c>
      <c r="C286">
        <v>2</v>
      </c>
      <c r="D286">
        <v>7</v>
      </c>
      <c r="E286">
        <v>1887</v>
      </c>
      <c r="F286">
        <v>2</v>
      </c>
      <c r="G286" t="s">
        <v>298</v>
      </c>
      <c r="H286">
        <f>TIMEVALUE(SUBSTITUTE(SUBSTITUTE(_5__DAILY_USAGE_TREND[[#This Row],[TOTAL_DURATION]],"hour",":"),"min",""))</f>
        <v>0.27847222222222223</v>
      </c>
    </row>
    <row r="287" spans="1:8" x14ac:dyDescent="0.3">
      <c r="A287" s="1">
        <v>45406</v>
      </c>
      <c r="B287">
        <v>1</v>
      </c>
      <c r="C287">
        <v>1</v>
      </c>
      <c r="D287">
        <v>4</v>
      </c>
      <c r="E287">
        <v>1320</v>
      </c>
      <c r="F287">
        <v>1</v>
      </c>
      <c r="G287" t="s">
        <v>108</v>
      </c>
      <c r="H287">
        <f>TIMEVALUE(SUBSTITUTE(SUBSTITUTE(_5__DAILY_USAGE_TREND[[#This Row],[TOTAL_DURATION]],"hour",":"),"min",""))</f>
        <v>1.6666666666666666E-2</v>
      </c>
    </row>
    <row r="288" spans="1:8" x14ac:dyDescent="0.3">
      <c r="A288" s="1">
        <v>45407</v>
      </c>
      <c r="B288">
        <v>6</v>
      </c>
      <c r="C288">
        <v>4</v>
      </c>
      <c r="D288">
        <v>20</v>
      </c>
      <c r="E288">
        <v>7885</v>
      </c>
      <c r="F288">
        <v>6</v>
      </c>
      <c r="G288" t="s">
        <v>299</v>
      </c>
      <c r="H288">
        <f>TIMEVALUE(SUBSTITUTE(SUBSTITUTE(_5__DAILY_USAGE_TREND[[#This Row],[TOTAL_DURATION]],"hour",":"),"min",""))</f>
        <v>0.28263888888888888</v>
      </c>
    </row>
    <row r="289" spans="1:8" x14ac:dyDescent="0.3">
      <c r="A289" s="1">
        <v>45408</v>
      </c>
      <c r="B289">
        <v>1</v>
      </c>
      <c r="C289">
        <v>1</v>
      </c>
      <c r="D289">
        <v>3</v>
      </c>
      <c r="E289">
        <v>849</v>
      </c>
      <c r="F289">
        <v>1</v>
      </c>
      <c r="G289" t="s">
        <v>292</v>
      </c>
      <c r="H289">
        <f>TIMEVALUE(SUBSTITUTE(SUBSTITUTE(_5__DAILY_USAGE_TREND[[#This Row],[TOTAL_DURATION]],"hour",":"),"min",""))</f>
        <v>0.15</v>
      </c>
    </row>
    <row r="290" spans="1:8" x14ac:dyDescent="0.3">
      <c r="A290" s="1">
        <v>45409</v>
      </c>
      <c r="B290">
        <v>1</v>
      </c>
      <c r="C290">
        <v>1</v>
      </c>
      <c r="D290">
        <v>1</v>
      </c>
      <c r="E290">
        <v>332</v>
      </c>
      <c r="F290">
        <v>1</v>
      </c>
      <c r="G290" t="s">
        <v>300</v>
      </c>
      <c r="H290">
        <f>TIMEVALUE(SUBSTITUTE(SUBSTITUTE(_5__DAILY_USAGE_TREND[[#This Row],[TOTAL_DURATION]],"hour",":"),"min",""))</f>
        <v>0.29166666666666669</v>
      </c>
    </row>
    <row r="291" spans="1:8" x14ac:dyDescent="0.3">
      <c r="A291" s="1">
        <v>45410</v>
      </c>
      <c r="B291">
        <v>3</v>
      </c>
      <c r="C291">
        <v>3</v>
      </c>
      <c r="D291">
        <v>8</v>
      </c>
      <c r="E291">
        <v>2662</v>
      </c>
      <c r="F291">
        <v>3</v>
      </c>
      <c r="G291" t="s">
        <v>301</v>
      </c>
      <c r="H291">
        <f>TIMEVALUE(SUBSTITUTE(SUBSTITUTE(_5__DAILY_USAGE_TREND[[#This Row],[TOTAL_DURATION]],"hour",":"),"min",""))</f>
        <v>0.71875</v>
      </c>
    </row>
    <row r="292" spans="1:8" x14ac:dyDescent="0.3">
      <c r="A292" s="1">
        <v>45411</v>
      </c>
      <c r="B292">
        <v>4</v>
      </c>
      <c r="C292">
        <v>4</v>
      </c>
      <c r="D292">
        <v>6</v>
      </c>
      <c r="E292">
        <v>2658</v>
      </c>
      <c r="F292">
        <v>4</v>
      </c>
      <c r="G292" t="s">
        <v>302</v>
      </c>
      <c r="H292">
        <f>TIMEVALUE(SUBSTITUTE(SUBSTITUTE(_5__DAILY_USAGE_TREND[[#This Row],[TOTAL_DURATION]],"hour",":"),"min",""))</f>
        <v>0.42430555555555555</v>
      </c>
    </row>
    <row r="293" spans="1:8" x14ac:dyDescent="0.3">
      <c r="A293" s="1">
        <v>45412</v>
      </c>
      <c r="B293">
        <v>5</v>
      </c>
      <c r="C293">
        <v>3</v>
      </c>
      <c r="D293">
        <v>13</v>
      </c>
      <c r="E293">
        <v>4673</v>
      </c>
      <c r="F293">
        <v>5</v>
      </c>
      <c r="G293" t="s">
        <v>303</v>
      </c>
      <c r="H293">
        <f>TIMEVALUE(SUBSTITUTE(SUBSTITUTE(_5__DAILY_USAGE_TREND[[#This Row],[TOTAL_DURATION]],"hour",":"),"min",""))</f>
        <v>0.29027777777777786</v>
      </c>
    </row>
    <row r="294" spans="1:8" x14ac:dyDescent="0.3">
      <c r="A294" s="1">
        <v>45413</v>
      </c>
      <c r="B294">
        <v>3</v>
      </c>
      <c r="C294">
        <v>3</v>
      </c>
      <c r="D294">
        <v>8</v>
      </c>
      <c r="E294">
        <v>2195</v>
      </c>
      <c r="F294">
        <v>3</v>
      </c>
      <c r="G294" t="s">
        <v>304</v>
      </c>
      <c r="H294">
        <f>TIMEVALUE(SUBSTITUTE(SUBSTITUTE(_5__DAILY_USAGE_TREND[[#This Row],[TOTAL_DURATION]],"hour",":"),"min",""))</f>
        <v>0.48958333333333331</v>
      </c>
    </row>
    <row r="295" spans="1:8" x14ac:dyDescent="0.3">
      <c r="A295" s="1">
        <v>45414</v>
      </c>
      <c r="B295">
        <v>3</v>
      </c>
      <c r="C295">
        <v>3</v>
      </c>
      <c r="D295">
        <v>7</v>
      </c>
      <c r="E295">
        <v>2345</v>
      </c>
      <c r="F295">
        <v>3</v>
      </c>
      <c r="G295" t="s">
        <v>305</v>
      </c>
      <c r="H295">
        <f>TIMEVALUE(SUBSTITUTE(SUBSTITUTE(_5__DAILY_USAGE_TREND[[#This Row],[TOTAL_DURATION]],"hour",":"),"min",""))</f>
        <v>0.37708333333333333</v>
      </c>
    </row>
    <row r="296" spans="1:8" x14ac:dyDescent="0.3">
      <c r="A296" s="1">
        <v>45416</v>
      </c>
      <c r="B296">
        <v>6</v>
      </c>
      <c r="C296">
        <v>4</v>
      </c>
      <c r="D296">
        <v>9</v>
      </c>
      <c r="E296">
        <v>2265</v>
      </c>
      <c r="F296">
        <v>6</v>
      </c>
      <c r="G296" t="s">
        <v>306</v>
      </c>
      <c r="H296">
        <f>TIMEVALUE(SUBSTITUTE(SUBSTITUTE(_5__DAILY_USAGE_TREND[[#This Row],[TOTAL_DURATION]],"hour",":"),"min",""))</f>
        <v>0.91874999999999996</v>
      </c>
    </row>
    <row r="297" spans="1:8" x14ac:dyDescent="0.3">
      <c r="A297" s="1">
        <v>45417</v>
      </c>
      <c r="B297">
        <v>1</v>
      </c>
      <c r="C297">
        <v>1</v>
      </c>
      <c r="D297">
        <v>4</v>
      </c>
      <c r="E297">
        <v>1847</v>
      </c>
      <c r="F297">
        <v>1</v>
      </c>
      <c r="G297" t="s">
        <v>307</v>
      </c>
      <c r="H297">
        <f>TIMEVALUE(SUBSTITUTE(SUBSTITUTE(_5__DAILY_USAGE_TREND[[#This Row],[TOTAL_DURATION]],"hour",":"),"min",""))</f>
        <v>0.21111111111111103</v>
      </c>
    </row>
    <row r="298" spans="1:8" x14ac:dyDescent="0.3">
      <c r="A298" s="1">
        <v>45418</v>
      </c>
      <c r="B298">
        <v>4</v>
      </c>
      <c r="C298">
        <v>4</v>
      </c>
      <c r="D298">
        <v>11</v>
      </c>
      <c r="E298">
        <v>2539</v>
      </c>
      <c r="F298">
        <v>4</v>
      </c>
      <c r="G298" t="s">
        <v>308</v>
      </c>
      <c r="H298">
        <f>TIMEVALUE(SUBSTITUTE(SUBSTITUTE(_5__DAILY_USAGE_TREND[[#This Row],[TOTAL_DURATION]],"hour",":"),"min",""))</f>
        <v>0.70069444444444451</v>
      </c>
    </row>
    <row r="299" spans="1:8" x14ac:dyDescent="0.3">
      <c r="A299" s="1">
        <v>45419</v>
      </c>
      <c r="B299">
        <v>8</v>
      </c>
      <c r="C299">
        <v>5</v>
      </c>
      <c r="D299">
        <v>22</v>
      </c>
      <c r="E299">
        <v>8509</v>
      </c>
      <c r="F299">
        <v>8</v>
      </c>
      <c r="G299" t="s">
        <v>309</v>
      </c>
      <c r="H299">
        <f>TIMEVALUE(SUBSTITUTE(SUBSTITUTE(_5__DAILY_USAGE_TREND[[#This Row],[TOTAL_DURATION]],"hour",":"),"min",""))</f>
        <v>0.58125000000000004</v>
      </c>
    </row>
    <row r="300" spans="1:8" x14ac:dyDescent="0.3">
      <c r="A300" s="1">
        <v>45420</v>
      </c>
      <c r="B300">
        <v>1</v>
      </c>
      <c r="C300">
        <v>1</v>
      </c>
      <c r="D300">
        <v>4</v>
      </c>
      <c r="E300">
        <v>1603</v>
      </c>
      <c r="F300">
        <v>1</v>
      </c>
      <c r="G300" t="s">
        <v>218</v>
      </c>
      <c r="H300">
        <f>TIMEVALUE(SUBSTITUTE(SUBSTITUTE(_5__DAILY_USAGE_TREND[[#This Row],[TOTAL_DURATION]],"hour",":"),"min",""))</f>
        <v>3.6111111111111108E-2</v>
      </c>
    </row>
    <row r="301" spans="1:8" x14ac:dyDescent="0.3">
      <c r="A301" s="1">
        <v>45421</v>
      </c>
      <c r="B301">
        <v>2</v>
      </c>
      <c r="C301">
        <v>2</v>
      </c>
      <c r="D301">
        <v>3</v>
      </c>
      <c r="E301">
        <v>1070</v>
      </c>
      <c r="F301">
        <v>2</v>
      </c>
      <c r="G301" t="s">
        <v>69</v>
      </c>
      <c r="H301">
        <f>TIMEVALUE(SUBSTITUTE(SUBSTITUTE(_5__DAILY_USAGE_TREND[[#This Row],[TOTAL_DURATION]],"hour",":"),"min",""))</f>
        <v>5.486111111111111E-2</v>
      </c>
    </row>
    <row r="302" spans="1:8" x14ac:dyDescent="0.3">
      <c r="A302" s="1">
        <v>45422</v>
      </c>
      <c r="B302">
        <v>2</v>
      </c>
      <c r="C302">
        <v>2</v>
      </c>
      <c r="D302">
        <v>6</v>
      </c>
      <c r="E302">
        <v>2325</v>
      </c>
      <c r="F302">
        <v>2</v>
      </c>
      <c r="G302" t="s">
        <v>310</v>
      </c>
      <c r="H302">
        <f>TIMEVALUE(SUBSTITUTE(SUBSTITUTE(_5__DAILY_USAGE_TREND[[#This Row],[TOTAL_DURATION]],"hour",":"),"min",""))</f>
        <v>0.13194444444444445</v>
      </c>
    </row>
    <row r="303" spans="1:8" x14ac:dyDescent="0.3">
      <c r="A303" s="1">
        <v>45423</v>
      </c>
      <c r="B303">
        <v>2</v>
      </c>
      <c r="C303">
        <v>2</v>
      </c>
      <c r="D303">
        <v>7</v>
      </c>
      <c r="E303">
        <v>2231</v>
      </c>
      <c r="F303">
        <v>2</v>
      </c>
      <c r="G303" t="s">
        <v>311</v>
      </c>
      <c r="H303">
        <f>TIMEVALUE(SUBSTITUTE(SUBSTITUTE(_5__DAILY_USAGE_TREND[[#This Row],[TOTAL_DURATION]],"hour",":"),"min",""))</f>
        <v>0.11805555555555555</v>
      </c>
    </row>
    <row r="304" spans="1:8" x14ac:dyDescent="0.3">
      <c r="A304" s="1">
        <v>45424</v>
      </c>
      <c r="B304">
        <v>3</v>
      </c>
      <c r="C304">
        <v>3</v>
      </c>
      <c r="D304">
        <v>8</v>
      </c>
      <c r="E304">
        <v>2604</v>
      </c>
      <c r="F304">
        <v>3</v>
      </c>
      <c r="G304" t="s">
        <v>193</v>
      </c>
      <c r="H304">
        <f>TIMEVALUE(SUBSTITUTE(SUBSTITUTE(_5__DAILY_USAGE_TREND[[#This Row],[TOTAL_DURATION]],"hour",":"),"min",""))</f>
        <v>0.11527777777777778</v>
      </c>
    </row>
    <row r="305" spans="1:8" x14ac:dyDescent="0.3">
      <c r="A305" s="1">
        <v>45425</v>
      </c>
      <c r="B305">
        <v>2</v>
      </c>
      <c r="C305">
        <v>2</v>
      </c>
      <c r="D305">
        <v>5</v>
      </c>
      <c r="E305">
        <v>2053</v>
      </c>
      <c r="F305">
        <v>2</v>
      </c>
      <c r="G305" t="s">
        <v>312</v>
      </c>
      <c r="H305">
        <f>TIMEVALUE(SUBSTITUTE(SUBSTITUTE(_5__DAILY_USAGE_TREND[[#This Row],[TOTAL_DURATION]],"hour",":"),"min",""))</f>
        <v>0.28819444444444442</v>
      </c>
    </row>
    <row r="306" spans="1:8" x14ac:dyDescent="0.3">
      <c r="A306" s="1">
        <v>45426</v>
      </c>
      <c r="B306">
        <v>3</v>
      </c>
      <c r="C306">
        <v>3</v>
      </c>
      <c r="D306">
        <v>5</v>
      </c>
      <c r="E306">
        <v>1915</v>
      </c>
      <c r="F306">
        <v>3</v>
      </c>
      <c r="G306" t="s">
        <v>313</v>
      </c>
      <c r="H306">
        <f>TIMEVALUE(SUBSTITUTE(SUBSTITUTE(_5__DAILY_USAGE_TREND[[#This Row],[TOTAL_DURATION]],"hour",":"),"min",""))</f>
        <v>0.27291666666666664</v>
      </c>
    </row>
    <row r="307" spans="1:8" x14ac:dyDescent="0.3">
      <c r="A307" s="1">
        <v>45427</v>
      </c>
      <c r="B307">
        <v>2</v>
      </c>
      <c r="C307">
        <v>1</v>
      </c>
      <c r="D307">
        <v>7</v>
      </c>
      <c r="E307">
        <v>3468</v>
      </c>
      <c r="F307">
        <v>2</v>
      </c>
      <c r="G307" t="s">
        <v>314</v>
      </c>
      <c r="H307">
        <f>TIMEVALUE(SUBSTITUTE(SUBSTITUTE(_5__DAILY_USAGE_TREND[[#This Row],[TOTAL_DURATION]],"hour",":"),"min",""))</f>
        <v>0.15486111111111112</v>
      </c>
    </row>
    <row r="308" spans="1:8" x14ac:dyDescent="0.3">
      <c r="A308" s="1">
        <v>45428</v>
      </c>
      <c r="B308">
        <v>2</v>
      </c>
      <c r="C308">
        <v>2</v>
      </c>
      <c r="D308">
        <v>5</v>
      </c>
      <c r="E308">
        <v>2046</v>
      </c>
      <c r="F308">
        <v>2</v>
      </c>
      <c r="G308" t="s">
        <v>126</v>
      </c>
      <c r="H308">
        <f>TIMEVALUE(SUBSTITUTE(SUBSTITUTE(_5__DAILY_USAGE_TREND[[#This Row],[TOTAL_DURATION]],"hour",":"),"min",""))</f>
        <v>0.21319444444444444</v>
      </c>
    </row>
    <row r="309" spans="1:8" x14ac:dyDescent="0.3">
      <c r="A309" s="1">
        <v>45429</v>
      </c>
      <c r="B309">
        <v>1</v>
      </c>
      <c r="C309">
        <v>1</v>
      </c>
      <c r="D309">
        <v>4</v>
      </c>
      <c r="E309">
        <v>1950</v>
      </c>
      <c r="F309">
        <v>1</v>
      </c>
      <c r="G309" t="s">
        <v>16</v>
      </c>
      <c r="H309">
        <f>TIMEVALUE(SUBSTITUTE(SUBSTITUTE(_5__DAILY_USAGE_TREND[[#This Row],[TOTAL_DURATION]],"hour",":"),"min",""))</f>
        <v>7.7777777777777779E-2</v>
      </c>
    </row>
    <row r="310" spans="1:8" x14ac:dyDescent="0.3">
      <c r="A310" s="1">
        <v>45430</v>
      </c>
      <c r="B310">
        <v>2</v>
      </c>
      <c r="C310">
        <v>1</v>
      </c>
      <c r="D310">
        <v>5</v>
      </c>
      <c r="E310">
        <v>1883</v>
      </c>
      <c r="F310">
        <v>2</v>
      </c>
      <c r="G310" t="s">
        <v>315</v>
      </c>
      <c r="H310">
        <f>TIMEVALUE(SUBSTITUTE(SUBSTITUTE(_5__DAILY_USAGE_TREND[[#This Row],[TOTAL_DURATION]],"hour",":"),"min",""))</f>
        <v>0.2722222222222222</v>
      </c>
    </row>
    <row r="311" spans="1:8" x14ac:dyDescent="0.3">
      <c r="A311" s="1">
        <v>45431</v>
      </c>
      <c r="B311">
        <v>1</v>
      </c>
      <c r="C311">
        <v>1</v>
      </c>
      <c r="D311">
        <v>3</v>
      </c>
      <c r="E311">
        <v>1291</v>
      </c>
      <c r="F311">
        <v>1</v>
      </c>
      <c r="G311" t="s">
        <v>316</v>
      </c>
      <c r="H311">
        <f>TIMEVALUE(SUBSTITUTE(SUBSTITUTE(_5__DAILY_USAGE_TREND[[#This Row],[TOTAL_DURATION]],"hour",":"),"min",""))</f>
        <v>1.4583333333333334E-2</v>
      </c>
    </row>
    <row r="312" spans="1:8" x14ac:dyDescent="0.3">
      <c r="A312" s="1">
        <v>45432</v>
      </c>
      <c r="B312">
        <v>4</v>
      </c>
      <c r="C312">
        <v>3</v>
      </c>
      <c r="D312">
        <v>9</v>
      </c>
      <c r="E312">
        <v>2852</v>
      </c>
      <c r="F312">
        <v>4</v>
      </c>
      <c r="G312" t="s">
        <v>13</v>
      </c>
      <c r="H312">
        <f>TIMEVALUE(SUBSTITUTE(SUBSTITUTE(_5__DAILY_USAGE_TREND[[#This Row],[TOTAL_DURATION]],"hour",":"),"min",""))</f>
        <v>0.54374999999999996</v>
      </c>
    </row>
    <row r="313" spans="1:8" x14ac:dyDescent="0.3">
      <c r="A313" s="1">
        <v>45433</v>
      </c>
      <c r="B313">
        <v>3</v>
      </c>
      <c r="C313">
        <v>3</v>
      </c>
      <c r="D313">
        <v>5</v>
      </c>
      <c r="E313">
        <v>1812</v>
      </c>
      <c r="F313">
        <v>3</v>
      </c>
      <c r="G313" t="s">
        <v>317</v>
      </c>
      <c r="H313">
        <f>TIMEVALUE(SUBSTITUTE(SUBSTITUTE(_5__DAILY_USAGE_TREND[[#This Row],[TOTAL_DURATION]],"hour",":"),"min",""))</f>
        <v>0.17847222222222223</v>
      </c>
    </row>
    <row r="314" spans="1:8" x14ac:dyDescent="0.3">
      <c r="A314" s="1">
        <v>45434</v>
      </c>
      <c r="B314">
        <v>4</v>
      </c>
      <c r="C314">
        <v>4</v>
      </c>
      <c r="D314">
        <v>6</v>
      </c>
      <c r="E314">
        <v>2449</v>
      </c>
      <c r="F314">
        <v>4</v>
      </c>
      <c r="G314" t="s">
        <v>318</v>
      </c>
      <c r="H314">
        <f>TIMEVALUE(SUBSTITUTE(SUBSTITUTE(_5__DAILY_USAGE_TREND[[#This Row],[TOTAL_DURATION]],"hour",":"),"min",""))</f>
        <v>0.14374999999999999</v>
      </c>
    </row>
    <row r="315" spans="1:8" x14ac:dyDescent="0.3">
      <c r="A315" s="1">
        <v>45435</v>
      </c>
      <c r="B315">
        <v>2</v>
      </c>
      <c r="C315">
        <v>2</v>
      </c>
      <c r="D315">
        <v>3</v>
      </c>
      <c r="E315">
        <v>899</v>
      </c>
      <c r="F315">
        <v>2</v>
      </c>
      <c r="G315" t="s">
        <v>319</v>
      </c>
      <c r="H315">
        <f>TIMEVALUE(SUBSTITUTE(SUBSTITUTE(_5__DAILY_USAGE_TREND[[#This Row],[TOTAL_DURATION]],"hour",":"),"min",""))</f>
        <v>0.60833333333333328</v>
      </c>
    </row>
    <row r="316" spans="1:8" x14ac:dyDescent="0.3">
      <c r="A316" s="1">
        <v>45436</v>
      </c>
      <c r="B316">
        <v>3</v>
      </c>
      <c r="C316">
        <v>2</v>
      </c>
      <c r="D316">
        <v>4</v>
      </c>
      <c r="E316">
        <v>1498</v>
      </c>
      <c r="F316">
        <v>3</v>
      </c>
      <c r="G316" t="s">
        <v>272</v>
      </c>
      <c r="H316">
        <f>TIMEVALUE(SUBSTITUTE(SUBSTITUTE(_5__DAILY_USAGE_TREND[[#This Row],[TOTAL_DURATION]],"hour",":"),"min",""))</f>
        <v>0.12152777777777778</v>
      </c>
    </row>
    <row r="317" spans="1:8" x14ac:dyDescent="0.3">
      <c r="A317" s="1">
        <v>45437</v>
      </c>
      <c r="B317">
        <v>3</v>
      </c>
      <c r="C317">
        <v>2</v>
      </c>
      <c r="D317">
        <v>10</v>
      </c>
      <c r="E317">
        <v>4065</v>
      </c>
      <c r="F317">
        <v>3</v>
      </c>
      <c r="G317" t="s">
        <v>320</v>
      </c>
      <c r="H317">
        <f>TIMEVALUE(SUBSTITUTE(SUBSTITUTE(_5__DAILY_USAGE_TREND[[#This Row],[TOTAL_DURATION]],"hour",":"),"min",""))</f>
        <v>0.3527777777777778</v>
      </c>
    </row>
    <row r="318" spans="1:8" x14ac:dyDescent="0.3">
      <c r="A318" s="1">
        <v>45438</v>
      </c>
      <c r="B318">
        <v>4</v>
      </c>
      <c r="C318">
        <v>3</v>
      </c>
      <c r="D318">
        <v>7</v>
      </c>
      <c r="E318">
        <v>2719</v>
      </c>
      <c r="F318">
        <v>4</v>
      </c>
      <c r="G318" t="s">
        <v>321</v>
      </c>
      <c r="H318">
        <f>TIMEVALUE(SUBSTITUTE(SUBSTITUTE(_5__DAILY_USAGE_TREND[[#This Row],[TOTAL_DURATION]],"hour",":"),"min",""))</f>
        <v>0.72152777777777777</v>
      </c>
    </row>
    <row r="319" spans="1:8" x14ac:dyDescent="0.3">
      <c r="A319" s="1">
        <v>45439</v>
      </c>
      <c r="B319">
        <v>5</v>
      </c>
      <c r="C319">
        <v>4</v>
      </c>
      <c r="D319">
        <v>10</v>
      </c>
      <c r="E319">
        <v>3880</v>
      </c>
      <c r="F319">
        <v>5</v>
      </c>
      <c r="G319" t="s">
        <v>322</v>
      </c>
      <c r="H319">
        <f>TIMEVALUE(SUBSTITUTE(SUBSTITUTE(_5__DAILY_USAGE_TREND[[#This Row],[TOTAL_DURATION]],"hour",":"),"min",""))</f>
        <v>0.50694444444444442</v>
      </c>
    </row>
    <row r="320" spans="1:8" x14ac:dyDescent="0.3">
      <c r="A320" s="1">
        <v>45440</v>
      </c>
      <c r="B320">
        <v>2</v>
      </c>
      <c r="C320">
        <v>2</v>
      </c>
      <c r="D320">
        <v>7</v>
      </c>
      <c r="E320">
        <v>2289</v>
      </c>
      <c r="F320">
        <v>2</v>
      </c>
      <c r="G320" t="s">
        <v>323</v>
      </c>
      <c r="H320">
        <f>TIMEVALUE(SUBSTITUTE(SUBSTITUTE(_5__DAILY_USAGE_TREND[[#This Row],[TOTAL_DURATION]],"hour",":"),"min",""))</f>
        <v>0.27638888888888891</v>
      </c>
    </row>
    <row r="321" spans="1:8" x14ac:dyDescent="0.3">
      <c r="A321" s="1">
        <v>45441</v>
      </c>
      <c r="B321">
        <v>1</v>
      </c>
      <c r="C321">
        <v>1</v>
      </c>
      <c r="D321">
        <v>2</v>
      </c>
      <c r="E321">
        <v>627</v>
      </c>
      <c r="F321">
        <v>1</v>
      </c>
      <c r="G321" t="s">
        <v>99</v>
      </c>
      <c r="H321">
        <f>TIMEVALUE(SUBSTITUTE(SUBSTITUTE(_5__DAILY_USAGE_TREND[[#This Row],[TOTAL_DURATION]],"hour",":"),"min",""))</f>
        <v>9.7222222222222224E-3</v>
      </c>
    </row>
    <row r="322" spans="1:8" x14ac:dyDescent="0.3">
      <c r="A322" s="1">
        <v>45442</v>
      </c>
      <c r="B322">
        <v>2</v>
      </c>
      <c r="C322">
        <v>2</v>
      </c>
      <c r="D322">
        <v>3</v>
      </c>
      <c r="E322">
        <v>1699</v>
      </c>
      <c r="F322">
        <v>2</v>
      </c>
      <c r="G322" t="s">
        <v>324</v>
      </c>
      <c r="H322">
        <f>TIMEVALUE(SUBSTITUTE(SUBSTITUTE(_5__DAILY_USAGE_TREND[[#This Row],[TOTAL_DURATION]],"hour",":"),"min",""))</f>
        <v>0.33402777777777776</v>
      </c>
    </row>
    <row r="323" spans="1:8" x14ac:dyDescent="0.3">
      <c r="A323" s="1">
        <v>45443</v>
      </c>
      <c r="B323">
        <v>2</v>
      </c>
      <c r="C323">
        <v>2</v>
      </c>
      <c r="D323">
        <v>4</v>
      </c>
      <c r="E323">
        <v>2247</v>
      </c>
      <c r="F323">
        <v>2</v>
      </c>
      <c r="G323" t="s">
        <v>325</v>
      </c>
      <c r="H323">
        <f>TIMEVALUE(SUBSTITUTE(SUBSTITUTE(_5__DAILY_USAGE_TREND[[#This Row],[TOTAL_DURATION]],"hour",":"),"min",""))</f>
        <v>0.4</v>
      </c>
    </row>
    <row r="324" spans="1:8" x14ac:dyDescent="0.3">
      <c r="A324" s="1">
        <v>45444</v>
      </c>
      <c r="B324">
        <v>3</v>
      </c>
      <c r="C324">
        <v>3</v>
      </c>
      <c r="D324">
        <v>5</v>
      </c>
      <c r="E324">
        <v>2230</v>
      </c>
      <c r="F324">
        <v>3</v>
      </c>
      <c r="G324" t="s">
        <v>245</v>
      </c>
      <c r="H324">
        <f>TIMEVALUE(SUBSTITUTE(SUBSTITUTE(_5__DAILY_USAGE_TREND[[#This Row],[TOTAL_DURATION]],"hour",":"),"min",""))</f>
        <v>0.28541666666666665</v>
      </c>
    </row>
    <row r="325" spans="1:8" x14ac:dyDescent="0.3">
      <c r="A325" s="1">
        <v>45445</v>
      </c>
      <c r="B325">
        <v>2</v>
      </c>
      <c r="C325">
        <v>2</v>
      </c>
      <c r="D325">
        <v>7</v>
      </c>
      <c r="E325">
        <v>2648</v>
      </c>
      <c r="F325">
        <v>2</v>
      </c>
      <c r="G325" t="s">
        <v>326</v>
      </c>
      <c r="H325">
        <f>TIMEVALUE(SUBSTITUTE(SUBSTITUTE(_5__DAILY_USAGE_TREND[[#This Row],[TOTAL_DURATION]],"hour",":"),"min",""))</f>
        <v>0.36388888888888887</v>
      </c>
    </row>
    <row r="326" spans="1:8" x14ac:dyDescent="0.3">
      <c r="A326" s="1">
        <v>45446</v>
      </c>
      <c r="B326">
        <v>2</v>
      </c>
      <c r="C326">
        <v>2</v>
      </c>
      <c r="D326">
        <v>5</v>
      </c>
      <c r="E326">
        <v>1128</v>
      </c>
      <c r="F326">
        <v>2</v>
      </c>
      <c r="G326" t="s">
        <v>93</v>
      </c>
      <c r="H326">
        <f>TIMEVALUE(SUBSTITUTE(SUBSTITUTE(_5__DAILY_USAGE_TREND[[#This Row],[TOTAL_DURATION]],"hour",":"),"min",""))</f>
        <v>3.8194444444444448E-2</v>
      </c>
    </row>
    <row r="327" spans="1:8" x14ac:dyDescent="0.3">
      <c r="A327" s="1">
        <v>45447</v>
      </c>
      <c r="B327">
        <v>2</v>
      </c>
      <c r="C327">
        <v>2</v>
      </c>
      <c r="D327">
        <v>4</v>
      </c>
      <c r="E327">
        <v>895</v>
      </c>
      <c r="F327">
        <v>2</v>
      </c>
      <c r="G327" t="s">
        <v>193</v>
      </c>
      <c r="H327">
        <f>TIMEVALUE(SUBSTITUTE(SUBSTITUTE(_5__DAILY_USAGE_TREND[[#This Row],[TOTAL_DURATION]],"hour",":"),"min",""))</f>
        <v>0.11527777777777778</v>
      </c>
    </row>
    <row r="328" spans="1:8" x14ac:dyDescent="0.3">
      <c r="A328" s="1">
        <v>45448</v>
      </c>
      <c r="B328">
        <v>3</v>
      </c>
      <c r="C328">
        <v>2</v>
      </c>
      <c r="D328">
        <v>11</v>
      </c>
      <c r="E328">
        <v>4137</v>
      </c>
      <c r="F328">
        <v>3</v>
      </c>
      <c r="G328" t="s">
        <v>327</v>
      </c>
      <c r="H328">
        <f>TIMEVALUE(SUBSTITUTE(SUBSTITUTE(_5__DAILY_USAGE_TREND[[#This Row],[TOTAL_DURATION]],"hour",":"),"min",""))</f>
        <v>0.87569444444444444</v>
      </c>
    </row>
    <row r="329" spans="1:8" x14ac:dyDescent="0.3">
      <c r="A329" s="1">
        <v>45449</v>
      </c>
      <c r="B329">
        <v>3</v>
      </c>
      <c r="C329">
        <v>3</v>
      </c>
      <c r="D329">
        <v>6</v>
      </c>
      <c r="E329">
        <v>2669</v>
      </c>
      <c r="F329">
        <v>3</v>
      </c>
      <c r="G329" t="s">
        <v>328</v>
      </c>
      <c r="H329">
        <f>TIMEVALUE(SUBSTITUTE(SUBSTITUTE(_5__DAILY_USAGE_TREND[[#This Row],[TOTAL_DURATION]],"hour",":"),"min",""))</f>
        <v>0.3125</v>
      </c>
    </row>
    <row r="330" spans="1:8" x14ac:dyDescent="0.3">
      <c r="A330" s="1">
        <v>45450</v>
      </c>
      <c r="B330">
        <v>2</v>
      </c>
      <c r="C330">
        <v>1</v>
      </c>
      <c r="D330">
        <v>2</v>
      </c>
      <c r="E330">
        <v>801</v>
      </c>
      <c r="F330">
        <v>2</v>
      </c>
      <c r="G330" t="s">
        <v>329</v>
      </c>
      <c r="H330">
        <f>TIMEVALUE(SUBSTITUTE(SUBSTITUTE(_5__DAILY_USAGE_TREND[[#This Row],[TOTAL_DURATION]],"hour",":"),"min",""))</f>
        <v>3.9583333333333331E-2</v>
      </c>
    </row>
    <row r="331" spans="1:8" x14ac:dyDescent="0.3">
      <c r="A331" s="1">
        <v>45451</v>
      </c>
      <c r="B331">
        <v>1</v>
      </c>
      <c r="C331">
        <v>1</v>
      </c>
      <c r="D331">
        <v>2</v>
      </c>
      <c r="E331">
        <v>439</v>
      </c>
      <c r="F331">
        <v>1</v>
      </c>
      <c r="G331" t="s">
        <v>330</v>
      </c>
      <c r="H331">
        <f>TIMEVALUE(SUBSTITUTE(SUBSTITUTE(_5__DAILY_USAGE_TREND[[#This Row],[TOTAL_DURATION]],"hour",":"),"min",""))</f>
        <v>3.4722222222222224E-2</v>
      </c>
    </row>
    <row r="332" spans="1:8" x14ac:dyDescent="0.3">
      <c r="A332" s="1">
        <v>45452</v>
      </c>
      <c r="B332">
        <v>3</v>
      </c>
      <c r="C332">
        <v>2</v>
      </c>
      <c r="D332">
        <v>8</v>
      </c>
      <c r="E332">
        <v>3339</v>
      </c>
      <c r="F332">
        <v>3</v>
      </c>
      <c r="G332" t="s">
        <v>331</v>
      </c>
      <c r="H332">
        <f>TIMEVALUE(SUBSTITUTE(SUBSTITUTE(_5__DAILY_USAGE_TREND[[#This Row],[TOTAL_DURATION]],"hour",":"),"min",""))</f>
        <v>0.58819444444444446</v>
      </c>
    </row>
    <row r="333" spans="1:8" x14ac:dyDescent="0.3">
      <c r="A333" s="1">
        <v>45453</v>
      </c>
      <c r="B333">
        <v>2</v>
      </c>
      <c r="C333">
        <v>2</v>
      </c>
      <c r="D333">
        <v>2</v>
      </c>
      <c r="E333">
        <v>674</v>
      </c>
      <c r="F333">
        <v>2</v>
      </c>
      <c r="G333" t="s">
        <v>14</v>
      </c>
      <c r="H333">
        <f>TIMEVALUE(SUBSTITUTE(SUBSTITUTE(_5__DAILY_USAGE_TREND[[#This Row],[TOTAL_DURATION]],"hour",":"),"min",""))</f>
        <v>6.805555555555555E-2</v>
      </c>
    </row>
    <row r="334" spans="1:8" x14ac:dyDescent="0.3">
      <c r="A334" s="1">
        <v>45454</v>
      </c>
      <c r="B334">
        <v>2</v>
      </c>
      <c r="C334">
        <v>2</v>
      </c>
      <c r="D334">
        <v>6</v>
      </c>
      <c r="E334">
        <v>2290</v>
      </c>
      <c r="F334">
        <v>2</v>
      </c>
      <c r="G334" t="s">
        <v>332</v>
      </c>
      <c r="H334">
        <f>TIMEVALUE(SUBSTITUTE(SUBSTITUTE(_5__DAILY_USAGE_TREND[[#This Row],[TOTAL_DURATION]],"hour",":"),"min",""))</f>
        <v>0.16041666666666668</v>
      </c>
    </row>
    <row r="335" spans="1:8" x14ac:dyDescent="0.3">
      <c r="A335" s="1">
        <v>45455</v>
      </c>
      <c r="B335">
        <v>2</v>
      </c>
      <c r="C335">
        <v>2</v>
      </c>
      <c r="D335">
        <v>4</v>
      </c>
      <c r="E335">
        <v>1870</v>
      </c>
      <c r="F335">
        <v>2</v>
      </c>
      <c r="G335" t="s">
        <v>333</v>
      </c>
      <c r="H335">
        <f>TIMEVALUE(SUBSTITUTE(SUBSTITUTE(_5__DAILY_USAGE_TREND[[#This Row],[TOTAL_DURATION]],"hour",":"),"min",""))</f>
        <v>0.26041666666666669</v>
      </c>
    </row>
    <row r="336" spans="1:8" x14ac:dyDescent="0.3">
      <c r="A336" s="1">
        <v>45456</v>
      </c>
      <c r="B336">
        <v>4</v>
      </c>
      <c r="C336">
        <v>4</v>
      </c>
      <c r="D336">
        <v>6</v>
      </c>
      <c r="E336">
        <v>1777</v>
      </c>
      <c r="F336">
        <v>4</v>
      </c>
      <c r="G336" t="s">
        <v>334</v>
      </c>
      <c r="H336">
        <f>TIMEVALUE(SUBSTITUTE(SUBSTITUTE(_5__DAILY_USAGE_TREND[[#This Row],[TOTAL_DURATION]],"hour",":"),"min",""))</f>
        <v>0.40208333333333335</v>
      </c>
    </row>
    <row r="337" spans="1:8" x14ac:dyDescent="0.3">
      <c r="A337" s="1">
        <v>45457</v>
      </c>
      <c r="B337">
        <v>2</v>
      </c>
      <c r="C337">
        <v>2</v>
      </c>
      <c r="D337">
        <v>3</v>
      </c>
      <c r="E337">
        <v>916</v>
      </c>
      <c r="F337">
        <v>2</v>
      </c>
      <c r="G337" t="s">
        <v>335</v>
      </c>
      <c r="H337">
        <f>TIMEVALUE(SUBSTITUTE(SUBSTITUTE(_5__DAILY_USAGE_TREND[[#This Row],[TOTAL_DURATION]],"hour",":"),"min",""))</f>
        <v>0.10555555555555556</v>
      </c>
    </row>
    <row r="338" spans="1:8" x14ac:dyDescent="0.3">
      <c r="A338" s="1">
        <v>45458</v>
      </c>
      <c r="B338">
        <v>2</v>
      </c>
      <c r="C338">
        <v>2</v>
      </c>
      <c r="D338">
        <v>6</v>
      </c>
      <c r="E338">
        <v>2140</v>
      </c>
      <c r="F338">
        <v>2</v>
      </c>
      <c r="G338" t="s">
        <v>98</v>
      </c>
      <c r="H338">
        <f>TIMEVALUE(SUBSTITUTE(SUBSTITUTE(_5__DAILY_USAGE_TREND[[#This Row],[TOTAL_DURATION]],"hour",":"),"min",""))</f>
        <v>9.166666666666666E-2</v>
      </c>
    </row>
    <row r="339" spans="1:8" x14ac:dyDescent="0.3">
      <c r="A339" s="1">
        <v>45459</v>
      </c>
      <c r="B339">
        <v>3</v>
      </c>
      <c r="C339">
        <v>3</v>
      </c>
      <c r="D339">
        <v>7</v>
      </c>
      <c r="E339">
        <v>1987</v>
      </c>
      <c r="F339">
        <v>3</v>
      </c>
      <c r="G339" t="s">
        <v>336</v>
      </c>
      <c r="H339">
        <f>TIMEVALUE(SUBSTITUTE(SUBSTITUTE(_5__DAILY_USAGE_TREND[[#This Row],[TOTAL_DURATION]],"hour",":"),"min",""))</f>
        <v>0.16875000000000001</v>
      </c>
    </row>
    <row r="340" spans="1:8" x14ac:dyDescent="0.3">
      <c r="A340" s="1">
        <v>45460</v>
      </c>
      <c r="B340">
        <v>4</v>
      </c>
      <c r="C340">
        <v>3</v>
      </c>
      <c r="D340">
        <v>10</v>
      </c>
      <c r="E340">
        <v>3760</v>
      </c>
      <c r="F340">
        <v>4</v>
      </c>
      <c r="G340" t="s">
        <v>337</v>
      </c>
      <c r="H340">
        <f>TIMEVALUE(SUBSTITUTE(SUBSTITUTE(_5__DAILY_USAGE_TREND[[#This Row],[TOTAL_DURATION]],"hour",":"),"min",""))</f>
        <v>0.59236111111111112</v>
      </c>
    </row>
    <row r="341" spans="1:8" x14ac:dyDescent="0.3">
      <c r="A341" s="1">
        <v>45461</v>
      </c>
      <c r="B341">
        <v>2</v>
      </c>
      <c r="C341">
        <v>2</v>
      </c>
      <c r="D341">
        <v>2</v>
      </c>
      <c r="E341">
        <v>714</v>
      </c>
      <c r="F341">
        <v>2</v>
      </c>
      <c r="G341" t="s">
        <v>271</v>
      </c>
      <c r="H341">
        <f>TIMEVALUE(SUBSTITUTE(SUBSTITUTE(_5__DAILY_USAGE_TREND[[#This Row],[TOTAL_DURATION]],"hour",":"),"min",""))</f>
        <v>9.3055555555555558E-2</v>
      </c>
    </row>
    <row r="342" spans="1:8" x14ac:dyDescent="0.3">
      <c r="A342" s="1">
        <v>45462</v>
      </c>
      <c r="B342">
        <v>2</v>
      </c>
      <c r="C342">
        <v>2</v>
      </c>
      <c r="D342">
        <v>6</v>
      </c>
      <c r="E342">
        <v>2307</v>
      </c>
      <c r="F342">
        <v>2</v>
      </c>
      <c r="G342" t="s">
        <v>338</v>
      </c>
      <c r="H342">
        <f>TIMEVALUE(SUBSTITUTE(SUBSTITUTE(_5__DAILY_USAGE_TREND[[#This Row],[TOTAL_DURATION]],"hour",":"),"min",""))</f>
        <v>0.5708333333333333</v>
      </c>
    </row>
    <row r="343" spans="1:8" x14ac:dyDescent="0.3">
      <c r="A343" s="1">
        <v>45463</v>
      </c>
      <c r="B343">
        <v>4</v>
      </c>
      <c r="C343">
        <v>4</v>
      </c>
      <c r="D343">
        <v>10</v>
      </c>
      <c r="E343">
        <v>3596</v>
      </c>
      <c r="F343">
        <v>4</v>
      </c>
      <c r="G343" t="s">
        <v>69</v>
      </c>
      <c r="H343">
        <f>TIMEVALUE(SUBSTITUTE(SUBSTITUTE(_5__DAILY_USAGE_TREND[[#This Row],[TOTAL_DURATION]],"hour",":"),"min",""))</f>
        <v>5.486111111111111E-2</v>
      </c>
    </row>
    <row r="344" spans="1:8" x14ac:dyDescent="0.3">
      <c r="A344" s="1">
        <v>45464</v>
      </c>
      <c r="B344">
        <v>3</v>
      </c>
      <c r="C344">
        <v>3</v>
      </c>
      <c r="D344">
        <v>5</v>
      </c>
      <c r="E344">
        <v>1441</v>
      </c>
      <c r="F344">
        <v>3</v>
      </c>
      <c r="G344" t="s">
        <v>129</v>
      </c>
      <c r="H344">
        <f>TIMEVALUE(SUBSTITUTE(SUBSTITUTE(_5__DAILY_USAGE_TREND[[#This Row],[TOTAL_DURATION]],"hour",":"),"min",""))</f>
        <v>4.1666666666666664E-2</v>
      </c>
    </row>
    <row r="345" spans="1:8" x14ac:dyDescent="0.3">
      <c r="A345" s="1">
        <v>45465</v>
      </c>
      <c r="B345">
        <v>2</v>
      </c>
      <c r="C345">
        <v>2</v>
      </c>
      <c r="D345">
        <v>3</v>
      </c>
      <c r="E345">
        <v>1002</v>
      </c>
      <c r="F345">
        <v>2</v>
      </c>
      <c r="G345" t="s">
        <v>339</v>
      </c>
      <c r="H345">
        <f>TIMEVALUE(SUBSTITUTE(SUBSTITUTE(_5__DAILY_USAGE_TREND[[#This Row],[TOTAL_DURATION]],"hour",":"),"min",""))</f>
        <v>0.2986111111111111</v>
      </c>
    </row>
    <row r="346" spans="1:8" x14ac:dyDescent="0.3">
      <c r="A346" s="1">
        <v>45466</v>
      </c>
      <c r="B346">
        <v>4</v>
      </c>
      <c r="C346">
        <v>3</v>
      </c>
      <c r="D346">
        <v>10</v>
      </c>
      <c r="E346">
        <v>2923</v>
      </c>
      <c r="F346">
        <v>4</v>
      </c>
      <c r="G346" t="s">
        <v>340</v>
      </c>
      <c r="H346">
        <f>TIMEVALUE(SUBSTITUTE(SUBSTITUTE(_5__DAILY_USAGE_TREND[[#This Row],[TOTAL_DURATION]],"hour",":"),"min",""))</f>
        <v>0.31180555555555556</v>
      </c>
    </row>
    <row r="347" spans="1:8" x14ac:dyDescent="0.3">
      <c r="A347" s="1">
        <v>45468</v>
      </c>
      <c r="B347">
        <v>4</v>
      </c>
      <c r="C347">
        <v>3</v>
      </c>
      <c r="D347">
        <v>10</v>
      </c>
      <c r="E347">
        <v>2392</v>
      </c>
      <c r="F347">
        <v>4</v>
      </c>
      <c r="G347" t="s">
        <v>341</v>
      </c>
      <c r="H347">
        <f>TIMEVALUE(SUBSTITUTE(SUBSTITUTE(_5__DAILY_USAGE_TREND[[#This Row],[TOTAL_DURATION]],"hour",":"),"min",""))</f>
        <v>0.74444444444444446</v>
      </c>
    </row>
    <row r="348" spans="1:8" x14ac:dyDescent="0.3">
      <c r="A348" s="1">
        <v>45469</v>
      </c>
      <c r="B348">
        <v>3</v>
      </c>
      <c r="C348">
        <v>3</v>
      </c>
      <c r="D348">
        <v>6</v>
      </c>
      <c r="E348">
        <v>2057</v>
      </c>
      <c r="F348">
        <v>3</v>
      </c>
      <c r="G348" t="s">
        <v>342</v>
      </c>
      <c r="H348">
        <f>TIMEVALUE(SUBSTITUTE(SUBSTITUTE(_5__DAILY_USAGE_TREND[[#This Row],[TOTAL_DURATION]],"hour",":"),"min",""))</f>
        <v>0.30208333333333331</v>
      </c>
    </row>
    <row r="349" spans="1:8" x14ac:dyDescent="0.3">
      <c r="A349" s="1">
        <v>45470</v>
      </c>
      <c r="B349">
        <v>3</v>
      </c>
      <c r="C349">
        <v>3</v>
      </c>
      <c r="D349">
        <v>5</v>
      </c>
      <c r="E349">
        <v>1786</v>
      </c>
      <c r="F349">
        <v>3</v>
      </c>
      <c r="G349" t="s">
        <v>220</v>
      </c>
      <c r="H349">
        <f>TIMEVALUE(SUBSTITUTE(SUBSTITUTE(_5__DAILY_USAGE_TREND[[#This Row],[TOTAL_DURATION]],"hour",":"),"min",""))</f>
        <v>0.11319444444444444</v>
      </c>
    </row>
    <row r="350" spans="1:8" x14ac:dyDescent="0.3">
      <c r="A350" s="1">
        <v>45471</v>
      </c>
      <c r="B350">
        <v>3</v>
      </c>
      <c r="C350">
        <v>3</v>
      </c>
      <c r="D350">
        <v>7</v>
      </c>
      <c r="E350">
        <v>2632</v>
      </c>
      <c r="F350">
        <v>3</v>
      </c>
      <c r="G350" t="s">
        <v>343</v>
      </c>
      <c r="H350">
        <f>TIMEVALUE(SUBSTITUTE(SUBSTITUTE(_5__DAILY_USAGE_TREND[[#This Row],[TOTAL_DURATION]],"hour",":"),"min",""))</f>
        <v>0.31666666666666665</v>
      </c>
    </row>
    <row r="351" spans="1:8" x14ac:dyDescent="0.3">
      <c r="A351" s="1">
        <v>45472</v>
      </c>
      <c r="B351">
        <v>2</v>
      </c>
      <c r="C351">
        <v>2</v>
      </c>
      <c r="D351">
        <v>2</v>
      </c>
      <c r="E351">
        <v>1040</v>
      </c>
      <c r="F351">
        <v>2</v>
      </c>
      <c r="G351" t="s">
        <v>121</v>
      </c>
      <c r="H351">
        <f>TIMEVALUE(SUBSTITUTE(SUBSTITUTE(_5__DAILY_USAGE_TREND[[#This Row],[TOTAL_DURATION]],"hour",":"),"min",""))</f>
        <v>8.4722222222222227E-2</v>
      </c>
    </row>
    <row r="352" spans="1:8" x14ac:dyDescent="0.3">
      <c r="A352" s="1">
        <v>45473</v>
      </c>
      <c r="B352">
        <v>1</v>
      </c>
      <c r="C352">
        <v>1</v>
      </c>
      <c r="D352">
        <v>2</v>
      </c>
      <c r="E352">
        <v>1047</v>
      </c>
      <c r="F352">
        <v>1</v>
      </c>
      <c r="G352" t="s">
        <v>344</v>
      </c>
      <c r="H352">
        <f>TIMEVALUE(SUBSTITUTE(SUBSTITUTE(_5__DAILY_USAGE_TREND[[#This Row],[TOTAL_DURATION]],"hour",":"),"min",""))</f>
        <v>1.3888888888888888E-2</v>
      </c>
    </row>
    <row r="353" spans="1:8" x14ac:dyDescent="0.3">
      <c r="A353" s="1">
        <v>45474</v>
      </c>
      <c r="B353">
        <v>1</v>
      </c>
      <c r="C353">
        <v>1</v>
      </c>
      <c r="D353">
        <v>1</v>
      </c>
      <c r="E353">
        <v>357</v>
      </c>
      <c r="F353">
        <v>1</v>
      </c>
      <c r="G353" t="s">
        <v>345</v>
      </c>
      <c r="H353">
        <f>TIMEVALUE(SUBSTITUTE(SUBSTITUTE(_5__DAILY_USAGE_TREND[[#This Row],[TOTAL_DURATION]],"hour",":"),"min",""))</f>
        <v>1.0416666666666666E-2</v>
      </c>
    </row>
    <row r="354" spans="1:8" x14ac:dyDescent="0.3">
      <c r="A354" s="1">
        <v>45475</v>
      </c>
      <c r="B354">
        <v>3</v>
      </c>
      <c r="C354">
        <v>3</v>
      </c>
      <c r="D354">
        <v>8</v>
      </c>
      <c r="E354">
        <v>3767</v>
      </c>
      <c r="F354">
        <v>3</v>
      </c>
      <c r="G354" t="s">
        <v>346</v>
      </c>
      <c r="H354">
        <f>TIMEVALUE(SUBSTITUTE(SUBSTITUTE(_5__DAILY_USAGE_TREND[[#This Row],[TOTAL_DURATION]],"hour",":"),"min",""))</f>
        <v>0.44513888888888886</v>
      </c>
    </row>
    <row r="355" spans="1:8" x14ac:dyDescent="0.3">
      <c r="A355" s="1">
        <v>45476</v>
      </c>
      <c r="B355">
        <v>3</v>
      </c>
      <c r="C355">
        <v>2</v>
      </c>
      <c r="D355">
        <v>7</v>
      </c>
      <c r="E355">
        <v>2787</v>
      </c>
      <c r="F355">
        <v>3</v>
      </c>
      <c r="G355" t="s">
        <v>206</v>
      </c>
      <c r="H355">
        <f>TIMEVALUE(SUBSTITUTE(SUBSTITUTE(_5__DAILY_USAGE_TREND[[#This Row],[TOTAL_DURATION]],"hour",":"),"min",""))</f>
        <v>0.14722222222222223</v>
      </c>
    </row>
    <row r="356" spans="1:8" x14ac:dyDescent="0.3">
      <c r="A356" s="1">
        <v>45477</v>
      </c>
      <c r="B356">
        <v>2</v>
      </c>
      <c r="C356">
        <v>2</v>
      </c>
      <c r="D356">
        <v>5</v>
      </c>
      <c r="E356">
        <v>1655</v>
      </c>
      <c r="F356">
        <v>2</v>
      </c>
      <c r="G356" t="s">
        <v>347</v>
      </c>
      <c r="H356">
        <f>TIMEVALUE(SUBSTITUTE(SUBSTITUTE(_5__DAILY_USAGE_TREND[[#This Row],[TOTAL_DURATION]],"hour",":"),"min",""))</f>
        <v>0.21597222222222223</v>
      </c>
    </row>
    <row r="357" spans="1:8" x14ac:dyDescent="0.3">
      <c r="A357" s="1">
        <v>45478</v>
      </c>
      <c r="B357">
        <v>6</v>
      </c>
      <c r="C357">
        <v>4</v>
      </c>
      <c r="D357">
        <v>13</v>
      </c>
      <c r="E357">
        <v>5089</v>
      </c>
      <c r="F357">
        <v>6</v>
      </c>
      <c r="G357" t="s">
        <v>348</v>
      </c>
      <c r="H357">
        <f>TIMEVALUE(SUBSTITUTE(SUBSTITUTE(_5__DAILY_USAGE_TREND[[#This Row],[TOTAL_DURATION]],"hour",":"),"min",""))</f>
        <v>0.53472222222222221</v>
      </c>
    </row>
    <row r="358" spans="1:8" x14ac:dyDescent="0.3">
      <c r="A358" s="1">
        <v>45479</v>
      </c>
      <c r="B358">
        <v>1</v>
      </c>
      <c r="C358">
        <v>1</v>
      </c>
      <c r="D358">
        <v>2</v>
      </c>
      <c r="E358">
        <v>802</v>
      </c>
      <c r="F358">
        <v>1</v>
      </c>
      <c r="G358" t="s">
        <v>125</v>
      </c>
      <c r="H358">
        <f>TIMEVALUE(SUBSTITUTE(SUBSTITUTE(_5__DAILY_USAGE_TREND[[#This Row],[TOTAL_DURATION]],"hour",":"),"min",""))</f>
        <v>1.9444444444444445E-2</v>
      </c>
    </row>
    <row r="359" spans="1:8" x14ac:dyDescent="0.3">
      <c r="A359" s="1">
        <v>45480</v>
      </c>
      <c r="B359">
        <v>1</v>
      </c>
      <c r="C359">
        <v>1</v>
      </c>
      <c r="D359">
        <v>1</v>
      </c>
      <c r="E359">
        <v>378</v>
      </c>
      <c r="F359">
        <v>1</v>
      </c>
      <c r="G359" t="s">
        <v>349</v>
      </c>
      <c r="H359">
        <f>TIMEVALUE(SUBSTITUTE(SUBSTITUTE(_5__DAILY_USAGE_TREND[[#This Row],[TOTAL_DURATION]],"hour",":"),"min",""))</f>
        <v>6.7361111111111108E-2</v>
      </c>
    </row>
    <row r="360" spans="1:8" x14ac:dyDescent="0.3">
      <c r="A360" s="1">
        <v>45481</v>
      </c>
      <c r="B360">
        <v>10</v>
      </c>
      <c r="C360">
        <v>8</v>
      </c>
      <c r="D360">
        <v>22</v>
      </c>
      <c r="E360">
        <v>7291</v>
      </c>
      <c r="F360">
        <v>10</v>
      </c>
      <c r="G360" t="s">
        <v>350</v>
      </c>
      <c r="H360">
        <f>TIMEVALUE(SUBSTITUTE(SUBSTITUTE(_5__DAILY_USAGE_TREND[[#This Row],[TOTAL_DURATION]],"hour",":"),"min",""))</f>
        <v>0.3666666666666667</v>
      </c>
    </row>
    <row r="361" spans="1:8" x14ac:dyDescent="0.3">
      <c r="A361" s="1">
        <v>45482</v>
      </c>
      <c r="B361">
        <v>1</v>
      </c>
      <c r="C361">
        <v>1</v>
      </c>
      <c r="D361">
        <v>3</v>
      </c>
      <c r="E361">
        <v>584</v>
      </c>
      <c r="F361">
        <v>1</v>
      </c>
      <c r="G361" t="s">
        <v>26</v>
      </c>
      <c r="H361">
        <f>TIMEVALUE(SUBSTITUTE(SUBSTITUTE(_5__DAILY_USAGE_TREND[[#This Row],[TOTAL_DURATION]],"hour",":"),"min",""))</f>
        <v>6.25E-2</v>
      </c>
    </row>
    <row r="362" spans="1:8" x14ac:dyDescent="0.3">
      <c r="A362" s="1">
        <v>45483</v>
      </c>
      <c r="B362">
        <v>2</v>
      </c>
      <c r="C362">
        <v>2</v>
      </c>
      <c r="D362">
        <v>2</v>
      </c>
      <c r="E362">
        <v>899</v>
      </c>
      <c r="F362">
        <v>2</v>
      </c>
      <c r="G362" t="s">
        <v>14</v>
      </c>
      <c r="H362">
        <f>TIMEVALUE(SUBSTITUTE(SUBSTITUTE(_5__DAILY_USAGE_TREND[[#This Row],[TOTAL_DURATION]],"hour",":"),"min",""))</f>
        <v>6.805555555555555E-2</v>
      </c>
    </row>
    <row r="363" spans="1:8" x14ac:dyDescent="0.3">
      <c r="A363" s="1">
        <v>45484</v>
      </c>
      <c r="B363">
        <v>4</v>
      </c>
      <c r="C363">
        <v>3</v>
      </c>
      <c r="D363">
        <v>13</v>
      </c>
      <c r="E363">
        <v>4318</v>
      </c>
      <c r="F363">
        <v>4</v>
      </c>
      <c r="G363" t="s">
        <v>351</v>
      </c>
      <c r="H363">
        <f>TIMEVALUE(SUBSTITUTE(SUBSTITUTE(_5__DAILY_USAGE_TREND[[#This Row],[TOTAL_DURATION]],"hour",":"),"min",""))</f>
        <v>0.20069444444444445</v>
      </c>
    </row>
    <row r="364" spans="1:8" x14ac:dyDescent="0.3">
      <c r="A364" s="1">
        <v>45485</v>
      </c>
      <c r="B364">
        <v>2</v>
      </c>
      <c r="C364">
        <v>2</v>
      </c>
      <c r="D364">
        <v>6</v>
      </c>
      <c r="E364">
        <v>1188</v>
      </c>
      <c r="F364">
        <v>2</v>
      </c>
      <c r="G364" t="s">
        <v>132</v>
      </c>
      <c r="H364">
        <f>TIMEVALUE(SUBSTITUTE(SUBSTITUTE(_5__DAILY_USAGE_TREND[[#This Row],[TOTAL_DURATION]],"hour",":"),"min",""))</f>
        <v>4.583333333333333E-2</v>
      </c>
    </row>
    <row r="365" spans="1:8" x14ac:dyDescent="0.3">
      <c r="A365" s="1">
        <v>45486</v>
      </c>
      <c r="B365">
        <v>3</v>
      </c>
      <c r="C365">
        <v>2</v>
      </c>
      <c r="D365">
        <v>10</v>
      </c>
      <c r="E365">
        <v>3392</v>
      </c>
      <c r="F365">
        <v>3</v>
      </c>
      <c r="G365" t="s">
        <v>352</v>
      </c>
      <c r="H365">
        <f>TIMEVALUE(SUBSTITUTE(SUBSTITUTE(_5__DAILY_USAGE_TREND[[#This Row],[TOTAL_DURATION]],"hour",":"),"min",""))</f>
        <v>0.28194444444444444</v>
      </c>
    </row>
    <row r="366" spans="1:8" x14ac:dyDescent="0.3">
      <c r="A366" s="1">
        <v>45487</v>
      </c>
      <c r="B366">
        <v>4</v>
      </c>
      <c r="C366">
        <v>4</v>
      </c>
      <c r="D366">
        <v>11</v>
      </c>
      <c r="E366">
        <v>4093</v>
      </c>
      <c r="F366">
        <v>4</v>
      </c>
      <c r="G366" t="s">
        <v>126</v>
      </c>
      <c r="H366">
        <f>TIMEVALUE(SUBSTITUTE(SUBSTITUTE(_5__DAILY_USAGE_TREND[[#This Row],[TOTAL_DURATION]],"hour",":"),"min",""))</f>
        <v>0.21319444444444444</v>
      </c>
    </row>
    <row r="367" spans="1:8" x14ac:dyDescent="0.3">
      <c r="A367" s="1">
        <v>45488</v>
      </c>
      <c r="B367">
        <v>5</v>
      </c>
      <c r="C367">
        <v>5</v>
      </c>
      <c r="D367">
        <v>13</v>
      </c>
      <c r="E367">
        <v>4843</v>
      </c>
      <c r="F367">
        <v>5</v>
      </c>
      <c r="G367" t="s">
        <v>353</v>
      </c>
      <c r="H367">
        <f>TIMEVALUE(SUBSTITUTE(SUBSTITUTE(_5__DAILY_USAGE_TREND[[#This Row],[TOTAL_DURATION]],"hour",":"),"min",""))</f>
        <v>0.19930555555555557</v>
      </c>
    </row>
    <row r="368" spans="1:8" x14ac:dyDescent="0.3">
      <c r="A368" s="1">
        <v>45489</v>
      </c>
      <c r="B368">
        <v>2</v>
      </c>
      <c r="C368">
        <v>2</v>
      </c>
      <c r="D368">
        <v>7</v>
      </c>
      <c r="E368">
        <v>2549</v>
      </c>
      <c r="F368">
        <v>2</v>
      </c>
      <c r="G368" t="s">
        <v>354</v>
      </c>
      <c r="H368">
        <f>TIMEVALUE(SUBSTITUTE(SUBSTITUTE(_5__DAILY_USAGE_TREND[[#This Row],[TOTAL_DURATION]],"hour",":"),"min",""))</f>
        <v>0.36249999999999999</v>
      </c>
    </row>
    <row r="369" spans="1:8" x14ac:dyDescent="0.3">
      <c r="A369" s="1">
        <v>45490</v>
      </c>
      <c r="B369">
        <v>6</v>
      </c>
      <c r="C369">
        <v>5</v>
      </c>
      <c r="D369">
        <v>10</v>
      </c>
      <c r="E369">
        <v>2849</v>
      </c>
      <c r="F369">
        <v>6</v>
      </c>
      <c r="G369" t="s">
        <v>355</v>
      </c>
      <c r="H369">
        <f>TIMEVALUE(SUBSTITUTE(SUBSTITUTE(_5__DAILY_USAGE_TREND[[#This Row],[TOTAL_DURATION]],"hour",":"),"min",""))</f>
        <v>0.41458333333333336</v>
      </c>
    </row>
    <row r="370" spans="1:8" x14ac:dyDescent="0.3">
      <c r="A370" s="1">
        <v>45491</v>
      </c>
      <c r="B370">
        <v>1</v>
      </c>
      <c r="C370">
        <v>1</v>
      </c>
      <c r="D370">
        <v>1</v>
      </c>
      <c r="E370">
        <v>367</v>
      </c>
      <c r="F370">
        <v>1</v>
      </c>
      <c r="G370" t="s">
        <v>133</v>
      </c>
      <c r="H370">
        <f>TIMEVALUE(SUBSTITUTE(SUBSTITUTE(_5__DAILY_USAGE_TREND[[#This Row],[TOTAL_DURATION]],"hour",":"),"min",""))</f>
        <v>0.15555555555555556</v>
      </c>
    </row>
    <row r="371" spans="1:8" x14ac:dyDescent="0.3">
      <c r="A371" s="1">
        <v>45492</v>
      </c>
      <c r="B371">
        <v>4</v>
      </c>
      <c r="C371">
        <v>4</v>
      </c>
      <c r="D371">
        <v>13</v>
      </c>
      <c r="E371">
        <v>5669</v>
      </c>
      <c r="F371">
        <v>4</v>
      </c>
      <c r="G371" t="s">
        <v>356</v>
      </c>
      <c r="H371">
        <f>TIMEVALUE(SUBSTITUTE(SUBSTITUTE(_5__DAILY_USAGE_TREND[[#This Row],[TOTAL_DURATION]],"hour",":"),"min",""))</f>
        <v>0.18263888888888888</v>
      </c>
    </row>
    <row r="372" spans="1:8" x14ac:dyDescent="0.3">
      <c r="A372" s="1">
        <v>45493</v>
      </c>
      <c r="B372">
        <v>4</v>
      </c>
      <c r="C372">
        <v>3</v>
      </c>
      <c r="D372">
        <v>9</v>
      </c>
      <c r="E372">
        <v>4433</v>
      </c>
      <c r="F372">
        <v>4</v>
      </c>
      <c r="G372" t="s">
        <v>357</v>
      </c>
      <c r="H372">
        <f>TIMEVALUE(SUBSTITUTE(SUBSTITUTE(_5__DAILY_USAGE_TREND[[#This Row],[TOTAL_DURATION]],"hour",":"),"min",""))</f>
        <v>0.78680555555555554</v>
      </c>
    </row>
    <row r="373" spans="1:8" x14ac:dyDescent="0.3">
      <c r="A373" s="1">
        <v>45494</v>
      </c>
      <c r="B373">
        <v>3</v>
      </c>
      <c r="C373">
        <v>3</v>
      </c>
      <c r="D373">
        <v>5</v>
      </c>
      <c r="E373">
        <v>1702</v>
      </c>
      <c r="F373">
        <v>3</v>
      </c>
      <c r="G373" t="s">
        <v>358</v>
      </c>
      <c r="H373">
        <f>TIMEVALUE(SUBSTITUTE(SUBSTITUTE(_5__DAILY_USAGE_TREND[[#This Row],[TOTAL_DURATION]],"hour",":"),"min",""))</f>
        <v>0.2298611111111111</v>
      </c>
    </row>
    <row r="374" spans="1:8" x14ac:dyDescent="0.3">
      <c r="A374" s="1">
        <v>45495</v>
      </c>
      <c r="B374">
        <v>3</v>
      </c>
      <c r="C374">
        <v>3</v>
      </c>
      <c r="D374">
        <v>5</v>
      </c>
      <c r="E374">
        <v>2338</v>
      </c>
      <c r="F374">
        <v>3</v>
      </c>
      <c r="G374" t="s">
        <v>359</v>
      </c>
      <c r="H374">
        <f>TIMEVALUE(SUBSTITUTE(SUBSTITUTE(_5__DAILY_USAGE_TREND[[#This Row],[TOTAL_DURATION]],"hour",":"),"min",""))</f>
        <v>0.25347222222222221</v>
      </c>
    </row>
    <row r="375" spans="1:8" x14ac:dyDescent="0.3">
      <c r="A375" s="1">
        <v>45496</v>
      </c>
      <c r="B375">
        <v>2</v>
      </c>
      <c r="C375">
        <v>2</v>
      </c>
      <c r="D375">
        <v>3</v>
      </c>
      <c r="E375">
        <v>794</v>
      </c>
      <c r="F375">
        <v>2</v>
      </c>
      <c r="G375" t="s">
        <v>192</v>
      </c>
      <c r="H375">
        <f>TIMEVALUE(SUBSTITUTE(SUBSTITUTE(_5__DAILY_USAGE_TREND[[#This Row],[TOTAL_DURATION]],"hour",":"),"min",""))</f>
        <v>2.0833333333333332E-2</v>
      </c>
    </row>
    <row r="376" spans="1:8" x14ac:dyDescent="0.3">
      <c r="A376" s="1">
        <v>45497</v>
      </c>
      <c r="B376">
        <v>2</v>
      </c>
      <c r="C376">
        <v>2</v>
      </c>
      <c r="D376">
        <v>3</v>
      </c>
      <c r="E376">
        <v>501</v>
      </c>
      <c r="F376">
        <v>2</v>
      </c>
      <c r="G376" t="s">
        <v>360</v>
      </c>
      <c r="H376">
        <f>TIMEVALUE(SUBSTITUTE(SUBSTITUTE(_5__DAILY_USAGE_TREND[[#This Row],[TOTAL_DURATION]],"hour",":"),"min",""))</f>
        <v>0.12847222222222221</v>
      </c>
    </row>
    <row r="377" spans="1:8" x14ac:dyDescent="0.3">
      <c r="A377" s="1">
        <v>45498</v>
      </c>
      <c r="B377">
        <v>3</v>
      </c>
      <c r="C377">
        <v>2</v>
      </c>
      <c r="D377">
        <v>4</v>
      </c>
      <c r="E377">
        <v>1333</v>
      </c>
      <c r="F377">
        <v>3</v>
      </c>
      <c r="G377" t="s">
        <v>361</v>
      </c>
      <c r="H377">
        <f>TIMEVALUE(SUBSTITUTE(SUBSTITUTE(_5__DAILY_USAGE_TREND[[#This Row],[TOTAL_DURATION]],"hour",":"),"min",""))</f>
        <v>0.12708333333333333</v>
      </c>
    </row>
    <row r="378" spans="1:8" x14ac:dyDescent="0.3">
      <c r="A378" s="1">
        <v>45499</v>
      </c>
      <c r="B378">
        <v>5</v>
      </c>
      <c r="C378">
        <v>5</v>
      </c>
      <c r="D378">
        <v>9</v>
      </c>
      <c r="E378">
        <v>2316</v>
      </c>
      <c r="F378">
        <v>5</v>
      </c>
      <c r="G378" t="s">
        <v>245</v>
      </c>
      <c r="H378">
        <f>TIMEVALUE(SUBSTITUTE(SUBSTITUTE(_5__DAILY_USAGE_TREND[[#This Row],[TOTAL_DURATION]],"hour",":"),"min",""))</f>
        <v>0.28541666666666665</v>
      </c>
    </row>
    <row r="379" spans="1:8" x14ac:dyDescent="0.3">
      <c r="A379" s="1">
        <v>45500</v>
      </c>
      <c r="B379">
        <v>2</v>
      </c>
      <c r="C379">
        <v>2</v>
      </c>
      <c r="D379">
        <v>6</v>
      </c>
      <c r="E379">
        <v>2258</v>
      </c>
      <c r="F379">
        <v>2</v>
      </c>
      <c r="G379" t="s">
        <v>362</v>
      </c>
      <c r="H379">
        <f>TIMEVALUE(SUBSTITUTE(SUBSTITUTE(_5__DAILY_USAGE_TREND[[#This Row],[TOTAL_DURATION]],"hour",":"),"min",""))</f>
        <v>0.73888888888888893</v>
      </c>
    </row>
    <row r="380" spans="1:8" x14ac:dyDescent="0.3">
      <c r="A380" s="1">
        <v>45501</v>
      </c>
      <c r="B380">
        <v>3</v>
      </c>
      <c r="C380">
        <v>3</v>
      </c>
      <c r="D380">
        <v>7</v>
      </c>
      <c r="E380">
        <v>2761</v>
      </c>
      <c r="F380">
        <v>3</v>
      </c>
      <c r="G380" t="s">
        <v>363</v>
      </c>
      <c r="H380">
        <f>TIMEVALUE(SUBSTITUTE(SUBSTITUTE(_5__DAILY_USAGE_TREND[[#This Row],[TOTAL_DURATION]],"hour",":"),"min",""))</f>
        <v>0.47986111111111113</v>
      </c>
    </row>
    <row r="381" spans="1:8" x14ac:dyDescent="0.3">
      <c r="A381" s="1">
        <v>45502</v>
      </c>
      <c r="B381">
        <v>1</v>
      </c>
      <c r="C381">
        <v>1</v>
      </c>
      <c r="D381">
        <v>3</v>
      </c>
      <c r="E381">
        <v>1009</v>
      </c>
      <c r="F381">
        <v>1</v>
      </c>
      <c r="G381" t="s">
        <v>192</v>
      </c>
      <c r="H381">
        <f>TIMEVALUE(SUBSTITUTE(SUBSTITUTE(_5__DAILY_USAGE_TREND[[#This Row],[TOTAL_DURATION]],"hour",":"),"min",""))</f>
        <v>2.0833333333333332E-2</v>
      </c>
    </row>
    <row r="382" spans="1:8" x14ac:dyDescent="0.3">
      <c r="A382" s="1">
        <v>45503</v>
      </c>
      <c r="B382">
        <v>2</v>
      </c>
      <c r="C382">
        <v>2</v>
      </c>
      <c r="D382">
        <v>6</v>
      </c>
      <c r="E382">
        <v>1872</v>
      </c>
      <c r="F382">
        <v>2</v>
      </c>
      <c r="G382" t="s">
        <v>364</v>
      </c>
      <c r="H382">
        <f>TIMEVALUE(SUBSTITUTE(SUBSTITUTE(_5__DAILY_USAGE_TREND[[#This Row],[TOTAL_DURATION]],"hour",":"),"min",""))</f>
        <v>0.13750000000000001</v>
      </c>
    </row>
    <row r="383" spans="1:8" x14ac:dyDescent="0.3">
      <c r="A383" s="1">
        <v>45505</v>
      </c>
      <c r="B383">
        <v>3</v>
      </c>
      <c r="C383">
        <v>3</v>
      </c>
      <c r="D383">
        <v>6</v>
      </c>
      <c r="E383">
        <v>2489</v>
      </c>
      <c r="F383">
        <v>3</v>
      </c>
      <c r="G383" t="s">
        <v>139</v>
      </c>
      <c r="H383">
        <f>TIMEVALUE(SUBSTITUTE(SUBSTITUTE(_5__DAILY_USAGE_TREND[[#This Row],[TOTAL_DURATION]],"hour",":"),"min",""))</f>
        <v>0.21458333333333332</v>
      </c>
    </row>
    <row r="384" spans="1:8" x14ac:dyDescent="0.3">
      <c r="A384" s="1">
        <v>45506</v>
      </c>
      <c r="B384">
        <v>2</v>
      </c>
      <c r="C384">
        <v>2</v>
      </c>
      <c r="D384">
        <v>3</v>
      </c>
      <c r="E384">
        <v>1355</v>
      </c>
      <c r="F384">
        <v>2</v>
      </c>
      <c r="G384" t="s">
        <v>291</v>
      </c>
      <c r="H384">
        <f>TIMEVALUE(SUBSTITUTE(SUBSTITUTE(_5__DAILY_USAGE_TREND[[#This Row],[TOTAL_DURATION]],"hour",":"),"min",""))</f>
        <v>2.8472222222222222E-2</v>
      </c>
    </row>
    <row r="385" spans="1:8" x14ac:dyDescent="0.3">
      <c r="A385" s="1">
        <v>45507</v>
      </c>
      <c r="B385">
        <v>5</v>
      </c>
      <c r="C385">
        <v>5</v>
      </c>
      <c r="D385">
        <v>11</v>
      </c>
      <c r="E385">
        <v>3526</v>
      </c>
      <c r="F385">
        <v>5</v>
      </c>
      <c r="G385" t="s">
        <v>365</v>
      </c>
      <c r="H385">
        <f>TIMEVALUE(SUBSTITUTE(SUBSTITUTE(_5__DAILY_USAGE_TREND[[#This Row],[TOTAL_DURATION]],"hour",":"),"min",""))</f>
        <v>0.4201388888888889</v>
      </c>
    </row>
    <row r="386" spans="1:8" x14ac:dyDescent="0.3">
      <c r="A386" s="1">
        <v>45508</v>
      </c>
      <c r="B386">
        <v>5</v>
      </c>
      <c r="C386">
        <v>4</v>
      </c>
      <c r="D386">
        <v>13</v>
      </c>
      <c r="E386">
        <v>4284</v>
      </c>
      <c r="F386">
        <v>5</v>
      </c>
      <c r="G386" t="s">
        <v>334</v>
      </c>
      <c r="H386">
        <f>TIMEVALUE(SUBSTITUTE(SUBSTITUTE(_5__DAILY_USAGE_TREND[[#This Row],[TOTAL_DURATION]],"hour",":"),"min",""))</f>
        <v>0.40208333333333335</v>
      </c>
    </row>
    <row r="387" spans="1:8" x14ac:dyDescent="0.3">
      <c r="A387" s="1">
        <v>45509</v>
      </c>
      <c r="B387">
        <v>7</v>
      </c>
      <c r="C387">
        <v>3</v>
      </c>
      <c r="D387">
        <v>19</v>
      </c>
      <c r="E387">
        <v>6202</v>
      </c>
      <c r="F387">
        <v>7</v>
      </c>
      <c r="G387" t="s">
        <v>366</v>
      </c>
      <c r="H387">
        <f>TIMEVALUE(SUBSTITUTE(SUBSTITUTE(_5__DAILY_USAGE_TREND[[#This Row],[TOTAL_DURATION]],"hour",":"),"min",""))</f>
        <v>0.19652777777777786</v>
      </c>
    </row>
    <row r="388" spans="1:8" x14ac:dyDescent="0.3">
      <c r="A388" s="1">
        <v>45510</v>
      </c>
      <c r="B388">
        <v>2</v>
      </c>
      <c r="C388">
        <v>1</v>
      </c>
      <c r="D388">
        <v>5</v>
      </c>
      <c r="E388">
        <v>1848</v>
      </c>
      <c r="F388">
        <v>2</v>
      </c>
      <c r="G388" t="s">
        <v>367</v>
      </c>
      <c r="H388">
        <f>TIMEVALUE(SUBSTITUTE(SUBSTITUTE(_5__DAILY_USAGE_TREND[[#This Row],[TOTAL_DURATION]],"hour",":"),"min",""))</f>
        <v>0.30694444444444446</v>
      </c>
    </row>
    <row r="389" spans="1:8" x14ac:dyDescent="0.3">
      <c r="A389" s="1">
        <v>45511</v>
      </c>
      <c r="B389">
        <v>4</v>
      </c>
      <c r="C389">
        <v>3</v>
      </c>
      <c r="D389">
        <v>7</v>
      </c>
      <c r="E389">
        <v>2532</v>
      </c>
      <c r="F389">
        <v>4</v>
      </c>
      <c r="G389" t="s">
        <v>368</v>
      </c>
      <c r="H389">
        <f>TIMEVALUE(SUBSTITUTE(SUBSTITUTE(_5__DAILY_USAGE_TREND[[#This Row],[TOTAL_DURATION]],"hour",":"),"min",""))</f>
        <v>0.64097222222222228</v>
      </c>
    </row>
    <row r="390" spans="1:8" x14ac:dyDescent="0.3">
      <c r="A390" s="1">
        <v>45512</v>
      </c>
      <c r="B390">
        <v>7</v>
      </c>
      <c r="C390">
        <v>5</v>
      </c>
      <c r="D390">
        <v>16</v>
      </c>
      <c r="E390">
        <v>6393</v>
      </c>
      <c r="F390">
        <v>7</v>
      </c>
      <c r="G390" t="s">
        <v>369</v>
      </c>
      <c r="H390">
        <f>TIMEVALUE(SUBSTITUTE(SUBSTITUTE(_5__DAILY_USAGE_TREND[[#This Row],[TOTAL_DURATION]],"hour",":"),"min",""))</f>
        <v>0.57291666666666674</v>
      </c>
    </row>
    <row r="391" spans="1:8" x14ac:dyDescent="0.3">
      <c r="A391" s="1">
        <v>45513</v>
      </c>
      <c r="B391">
        <v>6</v>
      </c>
      <c r="C391">
        <v>6</v>
      </c>
      <c r="D391">
        <v>16</v>
      </c>
      <c r="E391">
        <v>6761</v>
      </c>
      <c r="F391">
        <v>6</v>
      </c>
      <c r="G391" t="s">
        <v>370</v>
      </c>
      <c r="H391">
        <f>TIMEVALUE(SUBSTITUTE(SUBSTITUTE(_5__DAILY_USAGE_TREND[[#This Row],[TOTAL_DURATION]],"hour",":"),"min",""))</f>
        <v>0.89444444444444449</v>
      </c>
    </row>
    <row r="392" spans="1:8" x14ac:dyDescent="0.3">
      <c r="A392" s="1">
        <v>45514</v>
      </c>
      <c r="B392">
        <v>4</v>
      </c>
      <c r="C392">
        <v>4</v>
      </c>
      <c r="D392">
        <v>9</v>
      </c>
      <c r="E392">
        <v>2490</v>
      </c>
      <c r="F392">
        <v>4</v>
      </c>
      <c r="G392" t="s">
        <v>183</v>
      </c>
      <c r="H392">
        <f>TIMEVALUE(SUBSTITUTE(SUBSTITUTE(_5__DAILY_USAGE_TREND[[#This Row],[TOTAL_DURATION]],"hour",":"),"min",""))</f>
        <v>0.36666666666666664</v>
      </c>
    </row>
    <row r="393" spans="1:8" x14ac:dyDescent="0.3">
      <c r="A393" s="1">
        <v>45515</v>
      </c>
      <c r="B393">
        <v>1</v>
      </c>
      <c r="C393">
        <v>1</v>
      </c>
      <c r="D393">
        <v>2</v>
      </c>
      <c r="E393">
        <v>1040</v>
      </c>
      <c r="F393">
        <v>1</v>
      </c>
      <c r="G393" t="s">
        <v>121</v>
      </c>
      <c r="H393">
        <f>TIMEVALUE(SUBSTITUTE(SUBSTITUTE(_5__DAILY_USAGE_TREND[[#This Row],[TOTAL_DURATION]],"hour",":"),"min",""))</f>
        <v>8.4722222222222227E-2</v>
      </c>
    </row>
    <row r="394" spans="1:8" x14ac:dyDescent="0.3">
      <c r="A394" s="1">
        <v>45516</v>
      </c>
      <c r="B394">
        <v>2</v>
      </c>
      <c r="C394">
        <v>2</v>
      </c>
      <c r="D394">
        <v>8</v>
      </c>
      <c r="E394">
        <v>3494</v>
      </c>
      <c r="F394">
        <v>2</v>
      </c>
      <c r="G394" t="s">
        <v>371</v>
      </c>
      <c r="H394">
        <f>TIMEVALUE(SUBSTITUTE(SUBSTITUTE(_5__DAILY_USAGE_TREND[[#This Row],[TOTAL_DURATION]],"hour",":"),"min",""))</f>
        <v>0.42708333333333331</v>
      </c>
    </row>
    <row r="395" spans="1:8" x14ac:dyDescent="0.3">
      <c r="A395" s="1">
        <v>45517</v>
      </c>
      <c r="B395">
        <v>4</v>
      </c>
      <c r="C395">
        <v>4</v>
      </c>
      <c r="D395">
        <v>6</v>
      </c>
      <c r="E395">
        <v>2187</v>
      </c>
      <c r="F395">
        <v>4</v>
      </c>
      <c r="G395" t="s">
        <v>372</v>
      </c>
      <c r="H395">
        <f>TIMEVALUE(SUBSTITUTE(SUBSTITUTE(_5__DAILY_USAGE_TREND[[#This Row],[TOTAL_DURATION]],"hour",":"),"min",""))</f>
        <v>0.19722222222222222</v>
      </c>
    </row>
    <row r="396" spans="1:8" x14ac:dyDescent="0.3">
      <c r="A396" s="1">
        <v>45518</v>
      </c>
      <c r="B396">
        <v>3</v>
      </c>
      <c r="C396">
        <v>3</v>
      </c>
      <c r="D396">
        <v>7</v>
      </c>
      <c r="E396">
        <v>2298</v>
      </c>
      <c r="F396">
        <v>3</v>
      </c>
      <c r="G396" t="s">
        <v>373</v>
      </c>
      <c r="H396">
        <f>TIMEVALUE(SUBSTITUTE(SUBSTITUTE(_5__DAILY_USAGE_TREND[[#This Row],[TOTAL_DURATION]],"hour",":"),"min",""))</f>
        <v>0.98472222222222228</v>
      </c>
    </row>
    <row r="397" spans="1:8" x14ac:dyDescent="0.3">
      <c r="A397" s="1">
        <v>45519</v>
      </c>
      <c r="B397">
        <v>5</v>
      </c>
      <c r="C397">
        <v>4</v>
      </c>
      <c r="D397">
        <v>7</v>
      </c>
      <c r="E397">
        <v>2544</v>
      </c>
      <c r="F397">
        <v>5</v>
      </c>
      <c r="G397" t="s">
        <v>374</v>
      </c>
      <c r="H397">
        <f>TIMEVALUE(SUBSTITUTE(SUBSTITUTE(_5__DAILY_USAGE_TREND[[#This Row],[TOTAL_DURATION]],"hour",":"),"min",""))</f>
        <v>0.25555555555555554</v>
      </c>
    </row>
    <row r="398" spans="1:8" x14ac:dyDescent="0.3">
      <c r="A398" s="1">
        <v>45520</v>
      </c>
      <c r="B398">
        <v>4</v>
      </c>
      <c r="C398">
        <v>3</v>
      </c>
      <c r="D398">
        <v>8</v>
      </c>
      <c r="E398">
        <v>3044</v>
      </c>
      <c r="F398">
        <v>4</v>
      </c>
      <c r="G398" t="s">
        <v>375</v>
      </c>
      <c r="H398">
        <f>TIMEVALUE(SUBSTITUTE(SUBSTITUTE(_5__DAILY_USAGE_TREND[[#This Row],[TOTAL_DURATION]],"hour",":"),"min",""))</f>
        <v>0.67986111111111114</v>
      </c>
    </row>
    <row r="399" spans="1:8" x14ac:dyDescent="0.3">
      <c r="A399" s="1">
        <v>45521</v>
      </c>
      <c r="B399">
        <v>4</v>
      </c>
      <c r="C399">
        <v>4</v>
      </c>
      <c r="D399">
        <v>7</v>
      </c>
      <c r="E399">
        <v>2927</v>
      </c>
      <c r="F399">
        <v>4</v>
      </c>
      <c r="G399" t="s">
        <v>376</v>
      </c>
      <c r="H399">
        <f>TIMEVALUE(SUBSTITUTE(SUBSTITUTE(_5__DAILY_USAGE_TREND[[#This Row],[TOTAL_DURATION]],"hour",":"),"min",""))</f>
        <v>0.24097222222222223</v>
      </c>
    </row>
    <row r="400" spans="1:8" x14ac:dyDescent="0.3">
      <c r="A400" s="1">
        <v>45522</v>
      </c>
      <c r="B400">
        <v>2</v>
      </c>
      <c r="C400">
        <v>2</v>
      </c>
      <c r="D400">
        <v>4</v>
      </c>
      <c r="E400">
        <v>1799</v>
      </c>
      <c r="F400">
        <v>2</v>
      </c>
      <c r="G400" t="s">
        <v>377</v>
      </c>
      <c r="H400">
        <f>TIMEVALUE(SUBSTITUTE(SUBSTITUTE(_5__DAILY_USAGE_TREND[[#This Row],[TOTAL_DURATION]],"hour",":"),"min",""))</f>
        <v>0.44444444444444442</v>
      </c>
    </row>
    <row r="401" spans="1:8" x14ac:dyDescent="0.3">
      <c r="A401" s="1">
        <v>45523</v>
      </c>
      <c r="B401">
        <v>3</v>
      </c>
      <c r="C401">
        <v>3</v>
      </c>
      <c r="D401">
        <v>7</v>
      </c>
      <c r="E401">
        <v>2255</v>
      </c>
      <c r="F401">
        <v>3</v>
      </c>
      <c r="G401" t="s">
        <v>330</v>
      </c>
      <c r="H401">
        <f>TIMEVALUE(SUBSTITUTE(SUBSTITUTE(_5__DAILY_USAGE_TREND[[#This Row],[TOTAL_DURATION]],"hour",":"),"min",""))</f>
        <v>3.4722222222222224E-2</v>
      </c>
    </row>
    <row r="402" spans="1:8" x14ac:dyDescent="0.3">
      <c r="A402" s="1">
        <v>45524</v>
      </c>
      <c r="B402">
        <v>4</v>
      </c>
      <c r="C402">
        <v>4</v>
      </c>
      <c r="D402">
        <v>8</v>
      </c>
      <c r="E402">
        <v>2565</v>
      </c>
      <c r="F402">
        <v>4</v>
      </c>
      <c r="G402" t="s">
        <v>378</v>
      </c>
      <c r="H402">
        <f>TIMEVALUE(SUBSTITUTE(SUBSTITUTE(_5__DAILY_USAGE_TREND[[#This Row],[TOTAL_DURATION]],"hour",":"),"min",""))</f>
        <v>0.23333333333333334</v>
      </c>
    </row>
    <row r="403" spans="1:8" x14ac:dyDescent="0.3">
      <c r="A403" s="1">
        <v>45525</v>
      </c>
      <c r="B403">
        <v>4</v>
      </c>
      <c r="C403">
        <v>4</v>
      </c>
      <c r="D403">
        <v>7</v>
      </c>
      <c r="E403">
        <v>1919</v>
      </c>
      <c r="F403">
        <v>4</v>
      </c>
      <c r="G403" t="s">
        <v>379</v>
      </c>
      <c r="H403">
        <f>TIMEVALUE(SUBSTITUTE(SUBSTITUTE(_5__DAILY_USAGE_TREND[[#This Row],[TOTAL_DURATION]],"hour",":"),"min",""))</f>
        <v>9.5138888888888884E-2</v>
      </c>
    </row>
    <row r="404" spans="1:8" x14ac:dyDescent="0.3">
      <c r="A404" s="1">
        <v>45526</v>
      </c>
      <c r="B404">
        <v>4</v>
      </c>
      <c r="C404">
        <v>3</v>
      </c>
      <c r="D404">
        <v>6</v>
      </c>
      <c r="E404">
        <v>1727</v>
      </c>
      <c r="F404">
        <v>4</v>
      </c>
      <c r="G404" t="s">
        <v>380</v>
      </c>
      <c r="H404">
        <f>TIMEVALUE(SUBSTITUTE(SUBSTITUTE(_5__DAILY_USAGE_TREND[[#This Row],[TOTAL_DURATION]],"hour",":"),"min",""))</f>
        <v>0.32013888888888886</v>
      </c>
    </row>
    <row r="405" spans="1:8" x14ac:dyDescent="0.3">
      <c r="A405" s="1">
        <v>45527</v>
      </c>
      <c r="B405">
        <v>4</v>
      </c>
      <c r="C405">
        <v>4</v>
      </c>
      <c r="D405">
        <v>11</v>
      </c>
      <c r="E405">
        <v>3709</v>
      </c>
      <c r="F405">
        <v>4</v>
      </c>
      <c r="G405" t="s">
        <v>359</v>
      </c>
      <c r="H405">
        <f>TIMEVALUE(SUBSTITUTE(SUBSTITUTE(_5__DAILY_USAGE_TREND[[#This Row],[TOTAL_DURATION]],"hour",":"),"min",""))</f>
        <v>0.25347222222222221</v>
      </c>
    </row>
    <row r="406" spans="1:8" x14ac:dyDescent="0.3">
      <c r="A406" s="1">
        <v>45528</v>
      </c>
      <c r="B406">
        <v>3</v>
      </c>
      <c r="C406">
        <v>2</v>
      </c>
      <c r="D406">
        <v>8</v>
      </c>
      <c r="E406">
        <v>2063</v>
      </c>
      <c r="F406">
        <v>3</v>
      </c>
      <c r="G406" t="s">
        <v>381</v>
      </c>
      <c r="H406">
        <f>TIMEVALUE(SUBSTITUTE(SUBSTITUTE(_5__DAILY_USAGE_TREND[[#This Row],[TOTAL_DURATION]],"hour",":"),"min",""))</f>
        <v>0.66180555555555554</v>
      </c>
    </row>
    <row r="407" spans="1:8" x14ac:dyDescent="0.3">
      <c r="A407" s="1">
        <v>45529</v>
      </c>
      <c r="B407">
        <v>4</v>
      </c>
      <c r="C407">
        <v>3</v>
      </c>
      <c r="D407">
        <v>15</v>
      </c>
      <c r="E407">
        <v>5594</v>
      </c>
      <c r="F407">
        <v>4</v>
      </c>
      <c r="G407" t="s">
        <v>382</v>
      </c>
      <c r="H407">
        <f>TIMEVALUE(SUBSTITUTE(SUBSTITUTE(_5__DAILY_USAGE_TREND[[#This Row],[TOTAL_DURATION]],"hour",":"),"min",""))</f>
        <v>0.70208333333333339</v>
      </c>
    </row>
    <row r="408" spans="1:8" x14ac:dyDescent="0.3">
      <c r="A408" s="1">
        <v>45530</v>
      </c>
      <c r="B408">
        <v>2</v>
      </c>
      <c r="C408">
        <v>2</v>
      </c>
      <c r="D408">
        <v>5</v>
      </c>
      <c r="E408">
        <v>1468</v>
      </c>
      <c r="F408">
        <v>2</v>
      </c>
      <c r="G408" t="s">
        <v>18</v>
      </c>
      <c r="H408">
        <f>TIMEVALUE(SUBSTITUTE(SUBSTITUTE(_5__DAILY_USAGE_TREND[[#This Row],[TOTAL_DURATION]],"hour",":"),"min",""))</f>
        <v>7.3611111111111113E-2</v>
      </c>
    </row>
    <row r="409" spans="1:8" x14ac:dyDescent="0.3">
      <c r="A409" s="1">
        <v>45531</v>
      </c>
      <c r="B409">
        <v>10</v>
      </c>
      <c r="C409">
        <v>9</v>
      </c>
      <c r="D409">
        <v>22</v>
      </c>
      <c r="E409">
        <v>7177</v>
      </c>
      <c r="F409">
        <v>10</v>
      </c>
      <c r="G409" t="s">
        <v>383</v>
      </c>
      <c r="H409">
        <f>TIMEVALUE(SUBSTITUTE(SUBSTITUTE(_5__DAILY_USAGE_TREND[[#This Row],[TOTAL_DURATION]],"hour",":"),"min",""))</f>
        <v>0.57013888888888886</v>
      </c>
    </row>
    <row r="410" spans="1:8" x14ac:dyDescent="0.3">
      <c r="A410" s="1">
        <v>45532</v>
      </c>
      <c r="B410">
        <v>4</v>
      </c>
      <c r="C410">
        <v>2</v>
      </c>
      <c r="D410">
        <v>9</v>
      </c>
      <c r="E410">
        <v>3904</v>
      </c>
      <c r="F410">
        <v>4</v>
      </c>
      <c r="G410" t="s">
        <v>384</v>
      </c>
      <c r="H410">
        <f>TIMEVALUE(SUBSTITUTE(SUBSTITUTE(_5__DAILY_USAGE_TREND[[#This Row],[TOTAL_DURATION]],"hour",":"),"min",""))</f>
        <v>0.74305555555555558</v>
      </c>
    </row>
    <row r="411" spans="1:8" x14ac:dyDescent="0.3">
      <c r="A411" s="1">
        <v>45533</v>
      </c>
      <c r="B411">
        <v>2</v>
      </c>
      <c r="C411">
        <v>2</v>
      </c>
      <c r="D411">
        <v>7</v>
      </c>
      <c r="E411">
        <v>2632</v>
      </c>
      <c r="F411">
        <v>2</v>
      </c>
      <c r="G411" t="s">
        <v>385</v>
      </c>
      <c r="H411">
        <f>TIMEVALUE(SUBSTITUTE(SUBSTITUTE(_5__DAILY_USAGE_TREND[[#This Row],[TOTAL_DURATION]],"hour",":"),"min",""))</f>
        <v>0.44236111111111109</v>
      </c>
    </row>
    <row r="412" spans="1:8" x14ac:dyDescent="0.3">
      <c r="A412" s="1">
        <v>45534</v>
      </c>
      <c r="B412">
        <v>4</v>
      </c>
      <c r="C412">
        <v>4</v>
      </c>
      <c r="D412">
        <v>13</v>
      </c>
      <c r="E412">
        <v>4235</v>
      </c>
      <c r="F412">
        <v>4</v>
      </c>
      <c r="G412" t="s">
        <v>386</v>
      </c>
      <c r="H412">
        <f>TIMEVALUE(SUBSTITUTE(SUBSTITUTE(_5__DAILY_USAGE_TREND[[#This Row],[TOTAL_DURATION]],"hour",":"),"min",""))</f>
        <v>0.99444444444444446</v>
      </c>
    </row>
    <row r="413" spans="1:8" x14ac:dyDescent="0.3">
      <c r="A413" s="1">
        <v>45535</v>
      </c>
      <c r="B413">
        <v>4</v>
      </c>
      <c r="C413">
        <v>3</v>
      </c>
      <c r="D413">
        <v>5</v>
      </c>
      <c r="E413">
        <v>2045</v>
      </c>
      <c r="F413">
        <v>4</v>
      </c>
      <c r="G413" t="s">
        <v>387</v>
      </c>
      <c r="H413">
        <f>TIMEVALUE(SUBSTITUTE(SUBSTITUTE(_5__DAILY_USAGE_TREND[[#This Row],[TOTAL_DURATION]],"hour",":"),"min",""))</f>
        <v>0.26527777777777778</v>
      </c>
    </row>
    <row r="414" spans="1:8" x14ac:dyDescent="0.3">
      <c r="A414" s="1">
        <v>45536</v>
      </c>
      <c r="B414">
        <v>3</v>
      </c>
      <c r="C414">
        <v>3</v>
      </c>
      <c r="D414">
        <v>10</v>
      </c>
      <c r="E414">
        <v>4095</v>
      </c>
      <c r="F414">
        <v>3</v>
      </c>
      <c r="G414" t="s">
        <v>385</v>
      </c>
      <c r="H414">
        <f>TIMEVALUE(SUBSTITUTE(SUBSTITUTE(_5__DAILY_USAGE_TREND[[#This Row],[TOTAL_DURATION]],"hour",":"),"min",""))</f>
        <v>0.44236111111111109</v>
      </c>
    </row>
    <row r="415" spans="1:8" x14ac:dyDescent="0.3">
      <c r="A415" s="1">
        <v>45537</v>
      </c>
      <c r="B415">
        <v>2</v>
      </c>
      <c r="C415">
        <v>1</v>
      </c>
      <c r="D415">
        <v>5</v>
      </c>
      <c r="E415">
        <v>1712</v>
      </c>
      <c r="F415">
        <v>2</v>
      </c>
      <c r="G415" t="s">
        <v>388</v>
      </c>
      <c r="H415">
        <f>TIMEVALUE(SUBSTITUTE(SUBSTITUTE(_5__DAILY_USAGE_TREND[[#This Row],[TOTAL_DURATION]],"hour",":"),"min",""))</f>
        <v>0.12430555555555556</v>
      </c>
    </row>
    <row r="416" spans="1:8" x14ac:dyDescent="0.3">
      <c r="A416" s="1">
        <v>45538</v>
      </c>
      <c r="B416">
        <v>6</v>
      </c>
      <c r="C416">
        <v>5</v>
      </c>
      <c r="D416">
        <v>9</v>
      </c>
      <c r="E416">
        <v>3533</v>
      </c>
      <c r="F416">
        <v>6</v>
      </c>
      <c r="G416" t="s">
        <v>212</v>
      </c>
      <c r="H416">
        <f>TIMEVALUE(SUBSTITUTE(SUBSTITUTE(_5__DAILY_USAGE_TREND[[#This Row],[TOTAL_DURATION]],"hour",":"),"min",""))</f>
        <v>0.62916666666666665</v>
      </c>
    </row>
    <row r="417" spans="1:8" x14ac:dyDescent="0.3">
      <c r="A417" s="1">
        <v>45539</v>
      </c>
      <c r="B417">
        <v>6</v>
      </c>
      <c r="C417">
        <v>4</v>
      </c>
      <c r="D417">
        <v>9</v>
      </c>
      <c r="E417">
        <v>3266</v>
      </c>
      <c r="F417">
        <v>6</v>
      </c>
      <c r="G417" t="s">
        <v>389</v>
      </c>
      <c r="H417">
        <f>TIMEVALUE(SUBSTITUTE(SUBSTITUTE(_5__DAILY_USAGE_TREND[[#This Row],[TOTAL_DURATION]],"hour",":"),"min",""))</f>
        <v>0.39027777777777778</v>
      </c>
    </row>
    <row r="418" spans="1:8" x14ac:dyDescent="0.3">
      <c r="A418" s="1">
        <v>45540</v>
      </c>
      <c r="B418">
        <v>1</v>
      </c>
      <c r="C418">
        <v>1</v>
      </c>
      <c r="D418">
        <v>3</v>
      </c>
      <c r="E418">
        <v>1085</v>
      </c>
      <c r="F418">
        <v>1</v>
      </c>
      <c r="G418" t="s">
        <v>203</v>
      </c>
      <c r="H418">
        <f>TIMEVALUE(SUBSTITUTE(SUBSTITUTE(_5__DAILY_USAGE_TREND[[#This Row],[TOTAL_DURATION]],"hour",":"),"min",""))</f>
        <v>0.13541666666666666</v>
      </c>
    </row>
    <row r="419" spans="1:8" x14ac:dyDescent="0.3">
      <c r="A419" s="1">
        <v>45543</v>
      </c>
      <c r="B419">
        <v>6</v>
      </c>
      <c r="C419">
        <v>5</v>
      </c>
      <c r="D419">
        <v>11</v>
      </c>
      <c r="E419">
        <v>3642</v>
      </c>
      <c r="F419">
        <v>6</v>
      </c>
      <c r="G419" t="s">
        <v>390</v>
      </c>
      <c r="H419">
        <f>TIMEVALUE(SUBSTITUTE(SUBSTITUTE(_5__DAILY_USAGE_TREND[[#This Row],[TOTAL_DURATION]],"hour",":"),"min",""))</f>
        <v>0.64444444444444449</v>
      </c>
    </row>
    <row r="420" spans="1:8" x14ac:dyDescent="0.3">
      <c r="A420" s="1">
        <v>45544</v>
      </c>
      <c r="B420">
        <v>3</v>
      </c>
      <c r="C420">
        <v>3</v>
      </c>
      <c r="D420">
        <v>8</v>
      </c>
      <c r="E420">
        <v>2980</v>
      </c>
      <c r="F420">
        <v>3</v>
      </c>
      <c r="G420" t="s">
        <v>187</v>
      </c>
      <c r="H420">
        <f>TIMEVALUE(SUBSTITUTE(SUBSTITUTE(_5__DAILY_USAGE_TREND[[#This Row],[TOTAL_DURATION]],"hour",":"),"min",""))</f>
        <v>0.54166666666666663</v>
      </c>
    </row>
    <row r="421" spans="1:8" x14ac:dyDescent="0.3">
      <c r="A421" s="1">
        <v>45545</v>
      </c>
      <c r="B421">
        <v>2</v>
      </c>
      <c r="C421">
        <v>2</v>
      </c>
      <c r="D421">
        <v>4</v>
      </c>
      <c r="E421">
        <v>1177</v>
      </c>
      <c r="F421">
        <v>2</v>
      </c>
      <c r="G421" t="s">
        <v>69</v>
      </c>
      <c r="H421">
        <f>TIMEVALUE(SUBSTITUTE(SUBSTITUTE(_5__DAILY_USAGE_TREND[[#This Row],[TOTAL_DURATION]],"hour",":"),"min",""))</f>
        <v>5.486111111111111E-2</v>
      </c>
    </row>
    <row r="422" spans="1:8" x14ac:dyDescent="0.3">
      <c r="A422" s="1">
        <v>45546</v>
      </c>
      <c r="B422">
        <v>4</v>
      </c>
      <c r="C422">
        <v>4</v>
      </c>
      <c r="D422">
        <v>12</v>
      </c>
      <c r="E422">
        <v>5142</v>
      </c>
      <c r="F422">
        <v>4</v>
      </c>
      <c r="G422" t="s">
        <v>391</v>
      </c>
      <c r="H422">
        <f>TIMEVALUE(SUBSTITUTE(SUBSTITUTE(_5__DAILY_USAGE_TREND[[#This Row],[TOTAL_DURATION]],"hour",":"),"min",""))</f>
        <v>0.46944444444444444</v>
      </c>
    </row>
    <row r="423" spans="1:8" x14ac:dyDescent="0.3">
      <c r="A423" s="1">
        <v>45547</v>
      </c>
      <c r="B423">
        <v>2</v>
      </c>
      <c r="C423">
        <v>2</v>
      </c>
      <c r="D423">
        <v>6</v>
      </c>
      <c r="E423">
        <v>2338</v>
      </c>
      <c r="F423">
        <v>2</v>
      </c>
      <c r="G423" t="s">
        <v>392</v>
      </c>
      <c r="H423">
        <f>TIMEVALUE(SUBSTITUTE(SUBSTITUTE(_5__DAILY_USAGE_TREND[[#This Row],[TOTAL_DURATION]],"hour",":"),"min",""))</f>
        <v>0.3263888888888889</v>
      </c>
    </row>
    <row r="424" spans="1:8" x14ac:dyDescent="0.3">
      <c r="A424" s="1">
        <v>45548</v>
      </c>
      <c r="B424">
        <v>4</v>
      </c>
      <c r="C424">
        <v>4</v>
      </c>
      <c r="D424">
        <v>8</v>
      </c>
      <c r="E424">
        <v>2159</v>
      </c>
      <c r="F424">
        <v>4</v>
      </c>
      <c r="G424" t="s">
        <v>393</v>
      </c>
      <c r="H424">
        <f>TIMEVALUE(SUBSTITUTE(SUBSTITUTE(_5__DAILY_USAGE_TREND[[#This Row],[TOTAL_DURATION]],"hour",":"),"min",""))</f>
        <v>0.22152777777777777</v>
      </c>
    </row>
    <row r="425" spans="1:8" x14ac:dyDescent="0.3">
      <c r="A425" s="1">
        <v>45549</v>
      </c>
      <c r="B425">
        <v>1</v>
      </c>
      <c r="C425">
        <v>1</v>
      </c>
      <c r="D425">
        <v>1</v>
      </c>
      <c r="E425">
        <v>264</v>
      </c>
      <c r="F425">
        <v>1</v>
      </c>
      <c r="G425" t="s">
        <v>394</v>
      </c>
      <c r="H425">
        <f>TIMEVALUE(SUBSTITUTE(SUBSTITUTE(_5__DAILY_USAGE_TREND[[#This Row],[TOTAL_DURATION]],"hour",":"),"min",""))</f>
        <v>1.1805555555555555E-2</v>
      </c>
    </row>
    <row r="426" spans="1:8" x14ac:dyDescent="0.3">
      <c r="A426" s="1">
        <v>45550</v>
      </c>
      <c r="B426">
        <v>5</v>
      </c>
      <c r="C426">
        <v>4</v>
      </c>
      <c r="D426">
        <v>14</v>
      </c>
      <c r="E426">
        <v>4840</v>
      </c>
      <c r="F426">
        <v>5</v>
      </c>
      <c r="G426" t="s">
        <v>395</v>
      </c>
      <c r="H426">
        <f>TIMEVALUE(SUBSTITUTE(SUBSTITUTE(_5__DAILY_USAGE_TREND[[#This Row],[TOTAL_DURATION]],"hour",":"),"min",""))</f>
        <v>0.30902777777777779</v>
      </c>
    </row>
    <row r="427" spans="1:8" x14ac:dyDescent="0.3">
      <c r="A427" s="1">
        <v>45551</v>
      </c>
      <c r="B427">
        <v>3</v>
      </c>
      <c r="C427">
        <v>3</v>
      </c>
      <c r="D427">
        <v>5</v>
      </c>
      <c r="E427">
        <v>1968</v>
      </c>
      <c r="F427">
        <v>3</v>
      </c>
      <c r="G427" t="s">
        <v>153</v>
      </c>
      <c r="H427">
        <f>TIMEVALUE(SUBSTITUTE(SUBSTITUTE(_5__DAILY_USAGE_TREND[[#This Row],[TOTAL_DURATION]],"hour",":"),"min",""))</f>
        <v>0.11041666666666666</v>
      </c>
    </row>
    <row r="428" spans="1:8" x14ac:dyDescent="0.3">
      <c r="A428" s="1">
        <v>45552</v>
      </c>
      <c r="B428">
        <v>1</v>
      </c>
      <c r="C428">
        <v>1</v>
      </c>
      <c r="D428">
        <v>2</v>
      </c>
      <c r="E428">
        <v>1239</v>
      </c>
      <c r="F428">
        <v>1</v>
      </c>
      <c r="G428" t="s">
        <v>129</v>
      </c>
      <c r="H428">
        <f>TIMEVALUE(SUBSTITUTE(SUBSTITUTE(_5__DAILY_USAGE_TREND[[#This Row],[TOTAL_DURATION]],"hour",":"),"min",""))</f>
        <v>4.1666666666666664E-2</v>
      </c>
    </row>
    <row r="429" spans="1:8" x14ac:dyDescent="0.3">
      <c r="A429" s="1">
        <v>45553</v>
      </c>
      <c r="B429">
        <v>4</v>
      </c>
      <c r="C429">
        <v>4</v>
      </c>
      <c r="D429">
        <v>10</v>
      </c>
      <c r="E429">
        <v>3461</v>
      </c>
      <c r="F429">
        <v>4</v>
      </c>
      <c r="G429" t="s">
        <v>396</v>
      </c>
      <c r="H429">
        <f>TIMEVALUE(SUBSTITUTE(SUBSTITUTE(_5__DAILY_USAGE_TREND[[#This Row],[TOTAL_DURATION]],"hour",":"),"min",""))</f>
        <v>0.56319444444444444</v>
      </c>
    </row>
    <row r="430" spans="1:8" x14ac:dyDescent="0.3">
      <c r="A430" s="1">
        <v>45554</v>
      </c>
      <c r="B430">
        <v>4</v>
      </c>
      <c r="C430">
        <v>2</v>
      </c>
      <c r="D430">
        <v>10</v>
      </c>
      <c r="E430">
        <v>3169</v>
      </c>
      <c r="F430">
        <v>4</v>
      </c>
      <c r="G430" t="s">
        <v>397</v>
      </c>
      <c r="H430">
        <f>TIMEVALUE(SUBSTITUTE(SUBSTITUTE(_5__DAILY_USAGE_TREND[[#This Row],[TOTAL_DURATION]],"hour",":"),"min",""))</f>
        <v>0.59791666666666665</v>
      </c>
    </row>
    <row r="431" spans="1:8" x14ac:dyDescent="0.3">
      <c r="A431" s="1">
        <v>45555</v>
      </c>
      <c r="B431">
        <v>3</v>
      </c>
      <c r="C431">
        <v>2</v>
      </c>
      <c r="D431">
        <v>4</v>
      </c>
      <c r="E431">
        <v>1101</v>
      </c>
      <c r="F431">
        <v>3</v>
      </c>
      <c r="G431" t="s">
        <v>398</v>
      </c>
      <c r="H431">
        <f>TIMEVALUE(SUBSTITUTE(SUBSTITUTE(_5__DAILY_USAGE_TREND[[#This Row],[TOTAL_DURATION]],"hour",":"),"min",""))</f>
        <v>0.40416666666666667</v>
      </c>
    </row>
    <row r="432" spans="1:8" x14ac:dyDescent="0.3">
      <c r="A432" s="1">
        <v>45556</v>
      </c>
      <c r="B432">
        <v>4</v>
      </c>
      <c r="C432">
        <v>3</v>
      </c>
      <c r="D432">
        <v>14</v>
      </c>
      <c r="E432">
        <v>5087</v>
      </c>
      <c r="F432">
        <v>4</v>
      </c>
      <c r="G432" t="s">
        <v>341</v>
      </c>
      <c r="H432">
        <f>TIMEVALUE(SUBSTITUTE(SUBSTITUTE(_5__DAILY_USAGE_TREND[[#This Row],[TOTAL_DURATION]],"hour",":"),"min",""))</f>
        <v>0.74444444444444446</v>
      </c>
    </row>
    <row r="433" spans="1:8" x14ac:dyDescent="0.3">
      <c r="A433" s="1">
        <v>45557</v>
      </c>
      <c r="B433">
        <v>8</v>
      </c>
      <c r="C433">
        <v>6</v>
      </c>
      <c r="D433">
        <v>20</v>
      </c>
      <c r="E433">
        <v>8163</v>
      </c>
      <c r="F433">
        <v>8</v>
      </c>
      <c r="G433" t="s">
        <v>399</v>
      </c>
      <c r="H433">
        <f>TIMEVALUE(SUBSTITUTE(SUBSTITUTE(_5__DAILY_USAGE_TREND[[#This Row],[TOTAL_DURATION]],"hour",":"),"min",""))</f>
        <v>0.61319444444444449</v>
      </c>
    </row>
    <row r="434" spans="1:8" x14ac:dyDescent="0.3">
      <c r="A434" s="1">
        <v>45558</v>
      </c>
      <c r="B434">
        <v>6</v>
      </c>
      <c r="C434">
        <v>5</v>
      </c>
      <c r="D434">
        <v>18</v>
      </c>
      <c r="E434">
        <v>6292</v>
      </c>
      <c r="F434">
        <v>6</v>
      </c>
      <c r="G434" t="s">
        <v>400</v>
      </c>
      <c r="H434">
        <f>TIMEVALUE(SUBSTITUTE(SUBSTITUTE(_5__DAILY_USAGE_TREND[[#This Row],[TOTAL_DURATION]],"hour",":"),"min",""))</f>
        <v>0.93055555555555558</v>
      </c>
    </row>
    <row r="435" spans="1:8" x14ac:dyDescent="0.3">
      <c r="A435" s="1">
        <v>45559</v>
      </c>
      <c r="B435">
        <v>1</v>
      </c>
      <c r="C435">
        <v>1</v>
      </c>
      <c r="D435">
        <v>1</v>
      </c>
      <c r="E435">
        <v>185</v>
      </c>
      <c r="F435">
        <v>1</v>
      </c>
      <c r="G435" t="s">
        <v>372</v>
      </c>
      <c r="H435">
        <f>TIMEVALUE(SUBSTITUTE(SUBSTITUTE(_5__DAILY_USAGE_TREND[[#This Row],[TOTAL_DURATION]],"hour",":"),"min",""))</f>
        <v>0.19722222222222222</v>
      </c>
    </row>
    <row r="436" spans="1:8" x14ac:dyDescent="0.3">
      <c r="A436" s="1">
        <v>45560</v>
      </c>
      <c r="B436">
        <v>1</v>
      </c>
      <c r="C436">
        <v>1</v>
      </c>
      <c r="D436">
        <v>2</v>
      </c>
      <c r="E436">
        <v>1059</v>
      </c>
      <c r="F436">
        <v>1</v>
      </c>
      <c r="G436" t="s">
        <v>151</v>
      </c>
      <c r="H436">
        <f>TIMEVALUE(SUBSTITUTE(SUBSTITUTE(_5__DAILY_USAGE_TREND[[#This Row],[TOTAL_DURATION]],"hour",":"),"min",""))</f>
        <v>0.1361111111111111</v>
      </c>
    </row>
    <row r="437" spans="1:8" x14ac:dyDescent="0.3">
      <c r="A437" s="1">
        <v>45561</v>
      </c>
      <c r="B437">
        <v>4</v>
      </c>
      <c r="C437">
        <v>4</v>
      </c>
      <c r="D437">
        <v>6</v>
      </c>
      <c r="E437">
        <v>2071</v>
      </c>
      <c r="F437">
        <v>4</v>
      </c>
      <c r="G437" t="s">
        <v>401</v>
      </c>
      <c r="H437">
        <f>TIMEVALUE(SUBSTITUTE(SUBSTITUTE(_5__DAILY_USAGE_TREND[[#This Row],[TOTAL_DURATION]],"hour",":"),"min",""))</f>
        <v>0.62361111111111112</v>
      </c>
    </row>
    <row r="438" spans="1:8" x14ac:dyDescent="0.3">
      <c r="A438" s="1">
        <v>45562</v>
      </c>
      <c r="B438">
        <v>5</v>
      </c>
      <c r="C438">
        <v>4</v>
      </c>
      <c r="D438">
        <v>17</v>
      </c>
      <c r="E438">
        <v>6774</v>
      </c>
      <c r="F438">
        <v>5</v>
      </c>
      <c r="G438" t="s">
        <v>402</v>
      </c>
      <c r="H438">
        <f>TIMEVALUE(SUBSTITUTE(SUBSTITUTE(_5__DAILY_USAGE_TREND[[#This Row],[TOTAL_DURATION]],"hour",":"),"min",""))</f>
        <v>0.26874999999999999</v>
      </c>
    </row>
    <row r="439" spans="1:8" x14ac:dyDescent="0.3">
      <c r="A439" s="1">
        <v>45563</v>
      </c>
      <c r="B439">
        <v>4</v>
      </c>
      <c r="C439">
        <v>4</v>
      </c>
      <c r="D439">
        <v>10</v>
      </c>
      <c r="E439">
        <v>4655</v>
      </c>
      <c r="F439">
        <v>4</v>
      </c>
      <c r="G439" t="s">
        <v>403</v>
      </c>
      <c r="H439">
        <f>TIMEVALUE(SUBSTITUTE(SUBSTITUTE(_5__DAILY_USAGE_TREND[[#This Row],[TOTAL_DURATION]],"hour",":"),"min",""))</f>
        <v>0.83402777777777781</v>
      </c>
    </row>
    <row r="440" spans="1:8" x14ac:dyDescent="0.3">
      <c r="A440" s="1">
        <v>45564</v>
      </c>
      <c r="B440">
        <v>3</v>
      </c>
      <c r="C440">
        <v>3</v>
      </c>
      <c r="D440">
        <v>6</v>
      </c>
      <c r="E440">
        <v>1254</v>
      </c>
      <c r="F440">
        <v>3</v>
      </c>
      <c r="G440" t="s">
        <v>404</v>
      </c>
      <c r="H440">
        <f>TIMEVALUE(SUBSTITUTE(SUBSTITUTE(_5__DAILY_USAGE_TREND[[#This Row],[TOTAL_DURATION]],"hour",":"),"min",""))</f>
        <v>0.49652777777777779</v>
      </c>
    </row>
    <row r="441" spans="1:8" x14ac:dyDescent="0.3">
      <c r="A441" s="1">
        <v>45565</v>
      </c>
      <c r="B441">
        <v>5</v>
      </c>
      <c r="C441">
        <v>5</v>
      </c>
      <c r="D441">
        <v>8</v>
      </c>
      <c r="E441">
        <v>3074</v>
      </c>
      <c r="F441">
        <v>5</v>
      </c>
      <c r="G441" t="s">
        <v>405</v>
      </c>
      <c r="H441">
        <f>TIMEVALUE(SUBSTITUTE(SUBSTITUTE(_5__DAILY_USAGE_TREND[[#This Row],[TOTAL_DURATION]],"hour",":"),"min",""))</f>
        <v>0.36736111111111114</v>
      </c>
    </row>
    <row r="442" spans="1:8" x14ac:dyDescent="0.3">
      <c r="A442" s="1">
        <v>45566</v>
      </c>
      <c r="B442">
        <v>2</v>
      </c>
      <c r="C442">
        <v>2</v>
      </c>
      <c r="D442">
        <v>4</v>
      </c>
      <c r="E442">
        <v>1414</v>
      </c>
      <c r="F442">
        <v>2</v>
      </c>
      <c r="G442" t="s">
        <v>406</v>
      </c>
      <c r="H442">
        <f>TIMEVALUE(SUBSTITUTE(SUBSTITUTE(_5__DAILY_USAGE_TREND[[#This Row],[TOTAL_DURATION]],"hour",":"),"min",""))</f>
        <v>0.21805555555555556</v>
      </c>
    </row>
    <row r="443" spans="1:8" x14ac:dyDescent="0.3">
      <c r="A443" s="1">
        <v>45567</v>
      </c>
      <c r="B443">
        <v>3</v>
      </c>
      <c r="C443">
        <v>2</v>
      </c>
      <c r="D443">
        <v>6</v>
      </c>
      <c r="E443">
        <v>1665</v>
      </c>
      <c r="F443">
        <v>3</v>
      </c>
      <c r="G443" t="s">
        <v>407</v>
      </c>
      <c r="H443">
        <f>TIMEVALUE(SUBSTITUTE(SUBSTITUTE(_5__DAILY_USAGE_TREND[[#This Row],[TOTAL_DURATION]],"hour",":"),"min",""))</f>
        <v>0.13680555555555557</v>
      </c>
    </row>
    <row r="444" spans="1:8" x14ac:dyDescent="0.3">
      <c r="A444" s="1">
        <v>45568</v>
      </c>
      <c r="B444">
        <v>3</v>
      </c>
      <c r="C444">
        <v>3</v>
      </c>
      <c r="D444">
        <v>6</v>
      </c>
      <c r="E444">
        <v>2254</v>
      </c>
      <c r="F444">
        <v>3</v>
      </c>
      <c r="G444" t="s">
        <v>408</v>
      </c>
      <c r="H444">
        <f>TIMEVALUE(SUBSTITUTE(SUBSTITUTE(_5__DAILY_USAGE_TREND[[#This Row],[TOTAL_DURATION]],"hour",":"),"min",""))</f>
        <v>0.31458333333333333</v>
      </c>
    </row>
    <row r="445" spans="1:8" x14ac:dyDescent="0.3">
      <c r="A445" s="1">
        <v>45569</v>
      </c>
      <c r="B445">
        <v>2</v>
      </c>
      <c r="C445">
        <v>2</v>
      </c>
      <c r="D445">
        <v>9</v>
      </c>
      <c r="E445">
        <v>3054</v>
      </c>
      <c r="F445">
        <v>2</v>
      </c>
      <c r="G445" t="s">
        <v>409</v>
      </c>
      <c r="H445">
        <f>TIMEVALUE(SUBSTITUTE(SUBSTITUTE(_5__DAILY_USAGE_TREND[[#This Row],[TOTAL_DURATION]],"hour",":"),"min",""))</f>
        <v>0.31805555555555554</v>
      </c>
    </row>
    <row r="446" spans="1:8" x14ac:dyDescent="0.3">
      <c r="A446" s="1">
        <v>45570</v>
      </c>
      <c r="B446">
        <v>1</v>
      </c>
      <c r="C446">
        <v>1</v>
      </c>
      <c r="D446">
        <v>2</v>
      </c>
      <c r="E446">
        <v>733</v>
      </c>
      <c r="F446">
        <v>1</v>
      </c>
      <c r="G446" t="s">
        <v>246</v>
      </c>
      <c r="H446">
        <f>TIMEVALUE(SUBSTITUTE(SUBSTITUTE(_5__DAILY_USAGE_TREND[[#This Row],[TOTAL_DURATION]],"hour",":"),"min",""))</f>
        <v>2.5000000000000001E-2</v>
      </c>
    </row>
    <row r="447" spans="1:8" x14ac:dyDescent="0.3">
      <c r="A447" s="1">
        <v>45571</v>
      </c>
      <c r="B447">
        <v>4</v>
      </c>
      <c r="C447">
        <v>3</v>
      </c>
      <c r="D447">
        <v>13</v>
      </c>
      <c r="E447">
        <v>5313</v>
      </c>
      <c r="F447">
        <v>4</v>
      </c>
      <c r="G447" t="s">
        <v>94</v>
      </c>
      <c r="H447">
        <f>TIMEVALUE(SUBSTITUTE(SUBSTITUTE(_5__DAILY_USAGE_TREND[[#This Row],[TOTAL_DURATION]],"hour",":"),"min",""))</f>
        <v>0.14583333333333334</v>
      </c>
    </row>
    <row r="448" spans="1:8" x14ac:dyDescent="0.3">
      <c r="A448" s="1">
        <v>45572</v>
      </c>
      <c r="B448">
        <v>3</v>
      </c>
      <c r="C448">
        <v>3</v>
      </c>
      <c r="D448">
        <v>6</v>
      </c>
      <c r="E448">
        <v>1997</v>
      </c>
      <c r="F448">
        <v>3</v>
      </c>
      <c r="G448" t="s">
        <v>410</v>
      </c>
      <c r="H448">
        <f>TIMEVALUE(SUBSTITUTE(SUBSTITUTE(_5__DAILY_USAGE_TREND[[#This Row],[TOTAL_DURATION]],"hour",":"),"min",""))</f>
        <v>0.67638888888888893</v>
      </c>
    </row>
    <row r="449" spans="1:8" x14ac:dyDescent="0.3">
      <c r="A449" s="1">
        <v>45573</v>
      </c>
      <c r="B449">
        <v>8</v>
      </c>
      <c r="C449">
        <v>6</v>
      </c>
      <c r="D449">
        <v>22</v>
      </c>
      <c r="E449">
        <v>8016</v>
      </c>
      <c r="F449">
        <v>8</v>
      </c>
      <c r="G449" t="s">
        <v>411</v>
      </c>
      <c r="H449">
        <f>TIMEVALUE(SUBSTITUTE(SUBSTITUTE(_5__DAILY_USAGE_TREND[[#This Row],[TOTAL_DURATION]],"hour",":"),"min",""))</f>
        <v>0.90763888888888888</v>
      </c>
    </row>
    <row r="450" spans="1:8" x14ac:dyDescent="0.3">
      <c r="A450" s="1">
        <v>45574</v>
      </c>
      <c r="B450">
        <v>4</v>
      </c>
      <c r="C450">
        <v>4</v>
      </c>
      <c r="D450">
        <v>9</v>
      </c>
      <c r="E450">
        <v>2630</v>
      </c>
      <c r="F450">
        <v>4</v>
      </c>
      <c r="G450" t="s">
        <v>412</v>
      </c>
      <c r="H450">
        <f>TIMEVALUE(SUBSTITUTE(SUBSTITUTE(_5__DAILY_USAGE_TREND[[#This Row],[TOTAL_DURATION]],"hour",":"),"min",""))</f>
        <v>0.83888888888888891</v>
      </c>
    </row>
    <row r="451" spans="1:8" x14ac:dyDescent="0.3">
      <c r="A451" s="1">
        <v>45575</v>
      </c>
      <c r="B451">
        <v>2</v>
      </c>
      <c r="C451">
        <v>2</v>
      </c>
      <c r="D451">
        <v>3</v>
      </c>
      <c r="E451">
        <v>956</v>
      </c>
      <c r="F451">
        <v>2</v>
      </c>
      <c r="G451" t="s">
        <v>203</v>
      </c>
      <c r="H451">
        <f>TIMEVALUE(SUBSTITUTE(SUBSTITUTE(_5__DAILY_USAGE_TREND[[#This Row],[TOTAL_DURATION]],"hour",":"),"min",""))</f>
        <v>0.13541666666666666</v>
      </c>
    </row>
    <row r="452" spans="1:8" x14ac:dyDescent="0.3">
      <c r="A452" s="1">
        <v>45576</v>
      </c>
      <c r="B452">
        <v>4</v>
      </c>
      <c r="C452">
        <v>4</v>
      </c>
      <c r="D452">
        <v>9</v>
      </c>
      <c r="E452">
        <v>2453</v>
      </c>
      <c r="F452">
        <v>4</v>
      </c>
      <c r="G452" t="s">
        <v>413</v>
      </c>
      <c r="H452">
        <f>TIMEVALUE(SUBSTITUTE(SUBSTITUTE(_5__DAILY_USAGE_TREND[[#This Row],[TOTAL_DURATION]],"hour",":"),"min",""))</f>
        <v>0.80486111111111114</v>
      </c>
    </row>
    <row r="453" spans="1:8" x14ac:dyDescent="0.3">
      <c r="A453" s="1">
        <v>45577</v>
      </c>
      <c r="B453">
        <v>1</v>
      </c>
      <c r="C453">
        <v>1</v>
      </c>
      <c r="D453">
        <v>4</v>
      </c>
      <c r="E453">
        <v>1269</v>
      </c>
      <c r="F453">
        <v>1</v>
      </c>
      <c r="G453" t="s">
        <v>414</v>
      </c>
      <c r="H453">
        <f>TIMEVALUE(SUBSTITUTE(SUBSTITUTE(_5__DAILY_USAGE_TREND[[#This Row],[TOTAL_DURATION]],"hour",":"),"min",""))</f>
        <v>7.2222222222222215E-2</v>
      </c>
    </row>
    <row r="454" spans="1:8" x14ac:dyDescent="0.3">
      <c r="A454" s="1">
        <v>45578</v>
      </c>
      <c r="B454">
        <v>3</v>
      </c>
      <c r="C454">
        <v>3</v>
      </c>
      <c r="D454">
        <v>9</v>
      </c>
      <c r="E454">
        <v>2988</v>
      </c>
      <c r="F454">
        <v>3</v>
      </c>
      <c r="G454" t="s">
        <v>415</v>
      </c>
      <c r="H454">
        <f>TIMEVALUE(SUBSTITUTE(SUBSTITUTE(_5__DAILY_USAGE_TREND[[#This Row],[TOTAL_DURATION]],"hour",":"),"min",""))</f>
        <v>0.14375000000000004</v>
      </c>
    </row>
    <row r="455" spans="1:8" x14ac:dyDescent="0.3">
      <c r="A455" s="1">
        <v>45579</v>
      </c>
      <c r="B455">
        <v>3</v>
      </c>
      <c r="C455">
        <v>3</v>
      </c>
      <c r="D455">
        <v>9</v>
      </c>
      <c r="E455">
        <v>2579</v>
      </c>
      <c r="F455">
        <v>3</v>
      </c>
      <c r="G455" t="s">
        <v>416</v>
      </c>
      <c r="H455">
        <f>TIMEVALUE(SUBSTITUTE(SUBSTITUTE(_5__DAILY_USAGE_TREND[[#This Row],[TOTAL_DURATION]],"hour",":"),"min",""))</f>
        <v>0.15833333333333333</v>
      </c>
    </row>
    <row r="456" spans="1:8" x14ac:dyDescent="0.3">
      <c r="A456" s="1">
        <v>45580</v>
      </c>
      <c r="B456">
        <v>3</v>
      </c>
      <c r="C456">
        <v>3</v>
      </c>
      <c r="D456">
        <v>6</v>
      </c>
      <c r="E456">
        <v>1994</v>
      </c>
      <c r="F456">
        <v>3</v>
      </c>
      <c r="G456" t="s">
        <v>417</v>
      </c>
      <c r="H456">
        <f>TIMEVALUE(SUBSTITUTE(SUBSTITUTE(_5__DAILY_USAGE_TREND[[#This Row],[TOTAL_DURATION]],"hour",":"),"min",""))</f>
        <v>0.12291666666666666</v>
      </c>
    </row>
    <row r="457" spans="1:8" x14ac:dyDescent="0.3">
      <c r="A457" s="1">
        <v>45581</v>
      </c>
      <c r="B457">
        <v>2</v>
      </c>
      <c r="C457">
        <v>1</v>
      </c>
      <c r="D457">
        <v>3</v>
      </c>
      <c r="E457">
        <v>1125</v>
      </c>
      <c r="F457">
        <v>2</v>
      </c>
      <c r="G457" t="s">
        <v>418</v>
      </c>
      <c r="H457">
        <f>TIMEVALUE(SUBSTITUTE(SUBSTITUTE(_5__DAILY_USAGE_TREND[[#This Row],[TOTAL_DURATION]],"hour",":"),"min",""))</f>
        <v>0.15763888888888888</v>
      </c>
    </row>
    <row r="458" spans="1:8" x14ac:dyDescent="0.3">
      <c r="A458" s="1">
        <v>45582</v>
      </c>
      <c r="B458">
        <v>4</v>
      </c>
      <c r="C458">
        <v>4</v>
      </c>
      <c r="D458">
        <v>12</v>
      </c>
      <c r="E458">
        <v>4043</v>
      </c>
      <c r="F458">
        <v>4</v>
      </c>
      <c r="G458" t="s">
        <v>419</v>
      </c>
      <c r="H458">
        <f>TIMEVALUE(SUBSTITUTE(SUBSTITUTE(_5__DAILY_USAGE_TREND[[#This Row],[TOTAL_DURATION]],"hour",":"),"min",""))</f>
        <v>0.66736111111111107</v>
      </c>
    </row>
    <row r="459" spans="1:8" x14ac:dyDescent="0.3">
      <c r="A459" s="1">
        <v>45583</v>
      </c>
      <c r="B459">
        <v>4</v>
      </c>
      <c r="C459">
        <v>3</v>
      </c>
      <c r="D459">
        <v>9</v>
      </c>
      <c r="E459">
        <v>3230</v>
      </c>
      <c r="F459">
        <v>4</v>
      </c>
      <c r="G459" t="s">
        <v>420</v>
      </c>
      <c r="H459">
        <f>TIMEVALUE(SUBSTITUTE(SUBSTITUTE(_5__DAILY_USAGE_TREND[[#This Row],[TOTAL_DURATION]],"hour",":"),"min",""))</f>
        <v>0.77083333333333337</v>
      </c>
    </row>
    <row r="460" spans="1:8" x14ac:dyDescent="0.3">
      <c r="A460" s="1">
        <v>45584</v>
      </c>
      <c r="B460">
        <v>9</v>
      </c>
      <c r="C460">
        <v>5</v>
      </c>
      <c r="D460">
        <v>17</v>
      </c>
      <c r="E460">
        <v>6344</v>
      </c>
      <c r="F460">
        <v>9</v>
      </c>
      <c r="G460" t="s">
        <v>302</v>
      </c>
      <c r="H460">
        <f>TIMEVALUE(SUBSTITUTE(SUBSTITUTE(_5__DAILY_USAGE_TREND[[#This Row],[TOTAL_DURATION]],"hour",":"),"min",""))</f>
        <v>0.42430555555555555</v>
      </c>
    </row>
    <row r="461" spans="1:8" x14ac:dyDescent="0.3">
      <c r="A461" s="1">
        <v>45585</v>
      </c>
      <c r="B461">
        <v>1</v>
      </c>
      <c r="C461">
        <v>1</v>
      </c>
      <c r="D461">
        <v>5</v>
      </c>
      <c r="E461">
        <v>2781</v>
      </c>
      <c r="F461">
        <v>1</v>
      </c>
      <c r="G461" t="s">
        <v>421</v>
      </c>
      <c r="H461">
        <f>TIMEVALUE(SUBSTITUTE(SUBSTITUTE(_5__DAILY_USAGE_TREND[[#This Row],[TOTAL_DURATION]],"hour",":"),"min",""))</f>
        <v>0.2361111111111111</v>
      </c>
    </row>
    <row r="462" spans="1:8" x14ac:dyDescent="0.3">
      <c r="A462" s="1">
        <v>45586</v>
      </c>
      <c r="B462">
        <v>2</v>
      </c>
      <c r="C462">
        <v>2</v>
      </c>
      <c r="D462">
        <v>3</v>
      </c>
      <c r="E462">
        <v>601</v>
      </c>
      <c r="F462">
        <v>2</v>
      </c>
      <c r="G462" t="s">
        <v>422</v>
      </c>
      <c r="H462">
        <f>TIMEVALUE(SUBSTITUTE(SUBSTITUTE(_5__DAILY_USAGE_TREND[[#This Row],[TOTAL_DURATION]],"hour",":"),"min",""))</f>
        <v>0.11736111111111111</v>
      </c>
    </row>
    <row r="463" spans="1:8" x14ac:dyDescent="0.3">
      <c r="A463" s="1">
        <v>45587</v>
      </c>
      <c r="B463">
        <v>3</v>
      </c>
      <c r="C463">
        <v>3</v>
      </c>
      <c r="D463">
        <v>5</v>
      </c>
      <c r="E463">
        <v>2060</v>
      </c>
      <c r="F463">
        <v>3</v>
      </c>
      <c r="G463" t="s">
        <v>423</v>
      </c>
      <c r="H463">
        <f>TIMEVALUE(SUBSTITUTE(SUBSTITUTE(_5__DAILY_USAGE_TREND[[#This Row],[TOTAL_DURATION]],"hour",":"),"min",""))</f>
        <v>0.16111111111111112</v>
      </c>
    </row>
    <row r="464" spans="1:8" x14ac:dyDescent="0.3">
      <c r="A464" s="1">
        <v>45588</v>
      </c>
      <c r="B464">
        <v>4</v>
      </c>
      <c r="C464">
        <v>3</v>
      </c>
      <c r="D464">
        <v>9</v>
      </c>
      <c r="E464">
        <v>3521</v>
      </c>
      <c r="F464">
        <v>4</v>
      </c>
      <c r="G464" t="s">
        <v>396</v>
      </c>
      <c r="H464">
        <f>TIMEVALUE(SUBSTITUTE(SUBSTITUTE(_5__DAILY_USAGE_TREND[[#This Row],[TOTAL_DURATION]],"hour",":"),"min",""))</f>
        <v>0.56319444444444444</v>
      </c>
    </row>
    <row r="465" spans="1:8" x14ac:dyDescent="0.3">
      <c r="A465" s="1">
        <v>45589</v>
      </c>
      <c r="B465">
        <v>3</v>
      </c>
      <c r="C465">
        <v>3</v>
      </c>
      <c r="D465">
        <v>6</v>
      </c>
      <c r="E465">
        <v>2196</v>
      </c>
      <c r="F465">
        <v>3</v>
      </c>
      <c r="G465" t="s">
        <v>424</v>
      </c>
      <c r="H465">
        <f>TIMEVALUE(SUBSTITUTE(SUBSTITUTE(_5__DAILY_USAGE_TREND[[#This Row],[TOTAL_DURATION]],"hour",":"),"min",""))</f>
        <v>0.2902777777777778</v>
      </c>
    </row>
    <row r="466" spans="1:8" x14ac:dyDescent="0.3">
      <c r="A466" s="1">
        <v>45590</v>
      </c>
      <c r="B466">
        <v>2</v>
      </c>
      <c r="C466">
        <v>2</v>
      </c>
      <c r="D466">
        <v>3</v>
      </c>
      <c r="E466">
        <v>1082</v>
      </c>
      <c r="F466">
        <v>2</v>
      </c>
      <c r="G466" t="s">
        <v>242</v>
      </c>
      <c r="H466">
        <f>TIMEVALUE(SUBSTITUTE(SUBSTITUTE(_5__DAILY_USAGE_TREND[[#This Row],[TOTAL_DURATION]],"hour",":"),"min",""))</f>
        <v>0.17222222222222222</v>
      </c>
    </row>
    <row r="467" spans="1:8" x14ac:dyDescent="0.3">
      <c r="A467" s="1">
        <v>45591</v>
      </c>
      <c r="B467">
        <v>3</v>
      </c>
      <c r="C467">
        <v>3</v>
      </c>
      <c r="D467">
        <v>8</v>
      </c>
      <c r="E467">
        <v>2979</v>
      </c>
      <c r="F467">
        <v>3</v>
      </c>
      <c r="G467" t="s">
        <v>425</v>
      </c>
      <c r="H467">
        <f>TIMEVALUE(SUBSTITUTE(SUBSTITUTE(_5__DAILY_USAGE_TREND[[#This Row],[TOTAL_DURATION]],"hour",":"),"min",""))</f>
        <v>0.82916666666666672</v>
      </c>
    </row>
    <row r="468" spans="1:8" x14ac:dyDescent="0.3">
      <c r="A468" s="1">
        <v>45592</v>
      </c>
      <c r="B468">
        <v>1</v>
      </c>
      <c r="C468">
        <v>1</v>
      </c>
      <c r="D468">
        <v>1</v>
      </c>
      <c r="E468">
        <v>389</v>
      </c>
      <c r="F468">
        <v>1</v>
      </c>
      <c r="G468" t="s">
        <v>137</v>
      </c>
      <c r="H468">
        <f>TIMEVALUE(SUBSTITUTE(SUBSTITUTE(_5__DAILY_USAGE_TREND[[#This Row],[TOTAL_DURATION]],"hour",":"),"min",""))</f>
        <v>2.6388888888888889E-2</v>
      </c>
    </row>
    <row r="469" spans="1:8" x14ac:dyDescent="0.3">
      <c r="A469" s="1">
        <v>45593</v>
      </c>
      <c r="B469">
        <v>4</v>
      </c>
      <c r="C469">
        <v>3</v>
      </c>
      <c r="D469">
        <v>7</v>
      </c>
      <c r="E469">
        <v>2328</v>
      </c>
      <c r="F469">
        <v>4</v>
      </c>
      <c r="G469" t="s">
        <v>240</v>
      </c>
      <c r="H469">
        <f>TIMEVALUE(SUBSTITUTE(SUBSTITUTE(_5__DAILY_USAGE_TREND[[#This Row],[TOTAL_DURATION]],"hour",":"),"min",""))</f>
        <v>0.19652777777777777</v>
      </c>
    </row>
    <row r="470" spans="1:8" x14ac:dyDescent="0.3">
      <c r="A470" s="1">
        <v>45594</v>
      </c>
      <c r="B470">
        <v>3</v>
      </c>
      <c r="C470">
        <v>2</v>
      </c>
      <c r="D470">
        <v>7</v>
      </c>
      <c r="E470">
        <v>2303</v>
      </c>
      <c r="F470">
        <v>3</v>
      </c>
      <c r="G470" t="s">
        <v>426</v>
      </c>
      <c r="H470">
        <f>TIMEVALUE(SUBSTITUTE(SUBSTITUTE(_5__DAILY_USAGE_TREND[[#This Row],[TOTAL_DURATION]],"hour",":"),"min",""))</f>
        <v>0.10416666666666667</v>
      </c>
    </row>
    <row r="471" spans="1:8" x14ac:dyDescent="0.3">
      <c r="A471" s="1">
        <v>45595</v>
      </c>
      <c r="B471">
        <v>6</v>
      </c>
      <c r="C471">
        <v>6</v>
      </c>
      <c r="D471">
        <v>11</v>
      </c>
      <c r="E471">
        <v>4416</v>
      </c>
      <c r="F471">
        <v>6</v>
      </c>
      <c r="G471" t="s">
        <v>427</v>
      </c>
      <c r="H471">
        <f>TIMEVALUE(SUBSTITUTE(SUBSTITUTE(_5__DAILY_USAGE_TREND[[#This Row],[TOTAL_DURATION]],"hour",":"),"min",""))</f>
        <v>0.46597222222222223</v>
      </c>
    </row>
    <row r="472" spans="1:8" x14ac:dyDescent="0.3">
      <c r="A472" s="1">
        <v>45596</v>
      </c>
      <c r="B472">
        <v>1</v>
      </c>
      <c r="C472">
        <v>1</v>
      </c>
      <c r="D472">
        <v>2</v>
      </c>
      <c r="E472">
        <v>1136</v>
      </c>
      <c r="F472">
        <v>1</v>
      </c>
      <c r="G472" t="s">
        <v>428</v>
      </c>
      <c r="H472">
        <f>TIMEVALUE(SUBSTITUTE(SUBSTITUTE(_5__DAILY_USAGE_TREND[[#This Row],[TOTAL_DURATION]],"hour",":"),"min",""))</f>
        <v>0.14861111111111111</v>
      </c>
    </row>
    <row r="473" spans="1:8" x14ac:dyDescent="0.3">
      <c r="A473" s="1">
        <v>45597</v>
      </c>
      <c r="B473">
        <v>4</v>
      </c>
      <c r="C473">
        <v>4</v>
      </c>
      <c r="D473">
        <v>10</v>
      </c>
      <c r="E473">
        <v>4705</v>
      </c>
      <c r="F473">
        <v>4</v>
      </c>
      <c r="G473" t="s">
        <v>429</v>
      </c>
      <c r="H473">
        <f>TIMEVALUE(SUBSTITUTE(SUBSTITUTE(_5__DAILY_USAGE_TREND[[#This Row],[TOTAL_DURATION]],"hour",":"),"min",""))</f>
        <v>0.5805555555555556</v>
      </c>
    </row>
    <row r="474" spans="1:8" x14ac:dyDescent="0.3">
      <c r="A474" s="1">
        <v>45598</v>
      </c>
      <c r="B474">
        <v>4</v>
      </c>
      <c r="C474">
        <v>4</v>
      </c>
      <c r="D474">
        <v>9</v>
      </c>
      <c r="E474">
        <v>3115</v>
      </c>
      <c r="F474">
        <v>4</v>
      </c>
      <c r="G474" t="s">
        <v>430</v>
      </c>
      <c r="H474">
        <f>TIMEVALUE(SUBSTITUTE(SUBSTITUTE(_5__DAILY_USAGE_TREND[[#This Row],[TOTAL_DURATION]],"hour",":"),"min",""))</f>
        <v>0.48402777777777778</v>
      </c>
    </row>
    <row r="475" spans="1:8" x14ac:dyDescent="0.3">
      <c r="A475" s="1">
        <v>45599</v>
      </c>
      <c r="B475">
        <v>5</v>
      </c>
      <c r="C475">
        <v>3</v>
      </c>
      <c r="D475">
        <v>9</v>
      </c>
      <c r="E475">
        <v>2726</v>
      </c>
      <c r="F475">
        <v>5</v>
      </c>
      <c r="G475" t="s">
        <v>431</v>
      </c>
      <c r="H475">
        <f>TIMEVALUE(SUBSTITUTE(SUBSTITUTE(_5__DAILY_USAGE_TREND[[#This Row],[TOTAL_DURATION]],"hour",":"),"min",""))</f>
        <v>0.24236111111111111</v>
      </c>
    </row>
    <row r="476" spans="1:8" x14ac:dyDescent="0.3">
      <c r="A476" s="1">
        <v>45600</v>
      </c>
      <c r="B476">
        <v>4</v>
      </c>
      <c r="C476">
        <v>3</v>
      </c>
      <c r="D476">
        <v>8</v>
      </c>
      <c r="E476">
        <v>4212</v>
      </c>
      <c r="F476">
        <v>4</v>
      </c>
      <c r="G476" t="s">
        <v>432</v>
      </c>
      <c r="H476">
        <f>TIMEVALUE(SUBSTITUTE(SUBSTITUTE(_5__DAILY_USAGE_TREND[[#This Row],[TOTAL_DURATION]],"hour",":"),"min",""))</f>
        <v>4.0277777777777857E-2</v>
      </c>
    </row>
    <row r="477" spans="1:8" x14ac:dyDescent="0.3">
      <c r="A477" s="1">
        <v>45601</v>
      </c>
      <c r="B477">
        <v>5</v>
      </c>
      <c r="C477">
        <v>4</v>
      </c>
      <c r="D477">
        <v>12</v>
      </c>
      <c r="E477">
        <v>3588</v>
      </c>
      <c r="F477">
        <v>5</v>
      </c>
      <c r="G477" t="s">
        <v>109</v>
      </c>
      <c r="H477">
        <f>TIMEVALUE(SUBSTITUTE(SUBSTITUTE(_5__DAILY_USAGE_TREND[[#This Row],[TOTAL_DURATION]],"hour",":"),"min",""))</f>
        <v>0.2</v>
      </c>
    </row>
    <row r="478" spans="1:8" x14ac:dyDescent="0.3">
      <c r="A478" s="1">
        <v>45602</v>
      </c>
      <c r="B478">
        <v>7</v>
      </c>
      <c r="C478">
        <v>5</v>
      </c>
      <c r="D478">
        <v>18</v>
      </c>
      <c r="E478">
        <v>6903</v>
      </c>
      <c r="F478">
        <v>7</v>
      </c>
      <c r="G478" t="s">
        <v>433</v>
      </c>
      <c r="H478">
        <f>TIMEVALUE(SUBSTITUTE(SUBSTITUTE(_5__DAILY_USAGE_TREND[[#This Row],[TOTAL_DURATION]],"hour",":"),"min",""))</f>
        <v>0.88263888888888886</v>
      </c>
    </row>
    <row r="479" spans="1:8" x14ac:dyDescent="0.3">
      <c r="A479" s="1">
        <v>45603</v>
      </c>
      <c r="B479">
        <v>1</v>
      </c>
      <c r="C479">
        <v>1</v>
      </c>
      <c r="D479">
        <v>2</v>
      </c>
      <c r="E479">
        <v>747</v>
      </c>
      <c r="F479">
        <v>1</v>
      </c>
      <c r="G479" t="s">
        <v>434</v>
      </c>
      <c r="H479">
        <f>TIMEVALUE(SUBSTITUTE(SUBSTITUTE(_5__DAILY_USAGE_TREND[[#This Row],[TOTAL_DURATION]],"hour",":"),"min",""))</f>
        <v>0.15694444444444444</v>
      </c>
    </row>
    <row r="480" spans="1:8" x14ac:dyDescent="0.3">
      <c r="A480" s="1">
        <v>45604</v>
      </c>
      <c r="B480">
        <v>4</v>
      </c>
      <c r="C480">
        <v>3</v>
      </c>
      <c r="D480">
        <v>11</v>
      </c>
      <c r="E480">
        <v>4169</v>
      </c>
      <c r="F480">
        <v>4</v>
      </c>
      <c r="G480" t="s">
        <v>435</v>
      </c>
      <c r="H480">
        <f>TIMEVALUE(SUBSTITUTE(SUBSTITUTE(_5__DAILY_USAGE_TREND[[#This Row],[TOTAL_DURATION]],"hour",":"),"min",""))</f>
        <v>0.22569444444444445</v>
      </c>
    </row>
    <row r="481" spans="1:8" x14ac:dyDescent="0.3">
      <c r="A481" s="1">
        <v>45605</v>
      </c>
      <c r="B481">
        <v>2</v>
      </c>
      <c r="C481">
        <v>2</v>
      </c>
      <c r="D481">
        <v>4</v>
      </c>
      <c r="E481">
        <v>751</v>
      </c>
      <c r="F481">
        <v>2</v>
      </c>
      <c r="G481" t="s">
        <v>436</v>
      </c>
      <c r="H481">
        <f>TIMEVALUE(SUBSTITUTE(SUBSTITUTE(_5__DAILY_USAGE_TREND[[#This Row],[TOTAL_DURATION]],"hour",":"),"min",""))</f>
        <v>0.15277777777777779</v>
      </c>
    </row>
    <row r="482" spans="1:8" x14ac:dyDescent="0.3">
      <c r="A482" s="1">
        <v>45606</v>
      </c>
      <c r="B482">
        <v>2</v>
      </c>
      <c r="C482">
        <v>2</v>
      </c>
      <c r="D482">
        <v>2</v>
      </c>
      <c r="E482">
        <v>656</v>
      </c>
      <c r="F482">
        <v>2</v>
      </c>
      <c r="G482" t="s">
        <v>14</v>
      </c>
      <c r="H482">
        <f>TIMEVALUE(SUBSTITUTE(SUBSTITUTE(_5__DAILY_USAGE_TREND[[#This Row],[TOTAL_DURATION]],"hour",":"),"min",""))</f>
        <v>6.805555555555555E-2</v>
      </c>
    </row>
    <row r="483" spans="1:8" x14ac:dyDescent="0.3">
      <c r="A483" s="1">
        <v>45607</v>
      </c>
      <c r="B483">
        <v>4</v>
      </c>
      <c r="C483">
        <v>2</v>
      </c>
      <c r="D483">
        <v>11</v>
      </c>
      <c r="E483">
        <v>4188</v>
      </c>
      <c r="F483">
        <v>4</v>
      </c>
      <c r="G483" t="s">
        <v>437</v>
      </c>
      <c r="H483">
        <f>TIMEVALUE(SUBSTITUTE(SUBSTITUTE(_5__DAILY_USAGE_TREND[[#This Row],[TOTAL_DURATION]],"hour",":"),"min",""))</f>
        <v>0.97986111111111107</v>
      </c>
    </row>
    <row r="484" spans="1:8" x14ac:dyDescent="0.3">
      <c r="A484" s="1">
        <v>45608</v>
      </c>
      <c r="B484">
        <v>1</v>
      </c>
      <c r="C484">
        <v>1</v>
      </c>
      <c r="D484">
        <v>5</v>
      </c>
      <c r="E484">
        <v>1880</v>
      </c>
      <c r="F484">
        <v>1</v>
      </c>
      <c r="G484" t="s">
        <v>438</v>
      </c>
      <c r="H484">
        <f>TIMEVALUE(SUBSTITUTE(SUBSTITUTE(_5__DAILY_USAGE_TREND[[#This Row],[TOTAL_DURATION]],"hour",":"),"min",""))</f>
        <v>0.2048611111111111</v>
      </c>
    </row>
    <row r="485" spans="1:8" x14ac:dyDescent="0.3">
      <c r="A485" s="1">
        <v>45609</v>
      </c>
      <c r="B485">
        <v>6</v>
      </c>
      <c r="C485">
        <v>6</v>
      </c>
      <c r="D485">
        <v>14</v>
      </c>
      <c r="E485">
        <v>5950</v>
      </c>
      <c r="F485">
        <v>6</v>
      </c>
      <c r="G485" t="s">
        <v>439</v>
      </c>
      <c r="H485">
        <f>TIMEVALUE(SUBSTITUTE(SUBSTITUTE(_5__DAILY_USAGE_TREND[[#This Row],[TOTAL_DURATION]],"hour",":"),"min",""))</f>
        <v>0.64513888888888893</v>
      </c>
    </row>
    <row r="486" spans="1:8" x14ac:dyDescent="0.3">
      <c r="A486" s="1">
        <v>45610</v>
      </c>
      <c r="B486">
        <v>3</v>
      </c>
      <c r="C486">
        <v>2</v>
      </c>
      <c r="D486">
        <v>6</v>
      </c>
      <c r="E486">
        <v>2184</v>
      </c>
      <c r="F486">
        <v>3</v>
      </c>
      <c r="G486" t="s">
        <v>440</v>
      </c>
      <c r="H486">
        <f>TIMEVALUE(SUBSTITUTE(SUBSTITUTE(_5__DAILY_USAGE_TREND[[#This Row],[TOTAL_DURATION]],"hour",":"),"min",""))</f>
        <v>0.63402777777777775</v>
      </c>
    </row>
    <row r="487" spans="1:8" x14ac:dyDescent="0.3">
      <c r="A487" s="1">
        <v>45611</v>
      </c>
      <c r="B487">
        <v>2</v>
      </c>
      <c r="C487">
        <v>2</v>
      </c>
      <c r="D487">
        <v>3</v>
      </c>
      <c r="E487">
        <v>1037</v>
      </c>
      <c r="F487">
        <v>2</v>
      </c>
      <c r="G487" t="s">
        <v>441</v>
      </c>
      <c r="H487">
        <f>TIMEVALUE(SUBSTITUTE(SUBSTITUTE(_5__DAILY_USAGE_TREND[[#This Row],[TOTAL_DURATION]],"hour",":"),"min",""))</f>
        <v>0.1875</v>
      </c>
    </row>
    <row r="488" spans="1:8" x14ac:dyDescent="0.3">
      <c r="A488" s="1">
        <v>45612</v>
      </c>
      <c r="B488">
        <v>9</v>
      </c>
      <c r="C488">
        <v>6</v>
      </c>
      <c r="D488">
        <v>23</v>
      </c>
      <c r="E488">
        <v>8444</v>
      </c>
      <c r="F488">
        <v>9</v>
      </c>
      <c r="G488" t="s">
        <v>442</v>
      </c>
      <c r="H488">
        <f>TIMEVALUE(SUBSTITUTE(SUBSTITUTE(_5__DAILY_USAGE_TREND[[#This Row],[TOTAL_DURATION]],"hour",":"),"min",""))</f>
        <v>0.84861111111111109</v>
      </c>
    </row>
    <row r="489" spans="1:8" x14ac:dyDescent="0.3">
      <c r="A489" s="1">
        <v>45613</v>
      </c>
      <c r="B489">
        <v>5</v>
      </c>
      <c r="C489">
        <v>3</v>
      </c>
      <c r="D489">
        <v>9</v>
      </c>
      <c r="E489">
        <v>4373</v>
      </c>
      <c r="F489">
        <v>5</v>
      </c>
      <c r="G489" t="s">
        <v>443</v>
      </c>
      <c r="H489">
        <f>TIMEVALUE(SUBSTITUTE(SUBSTITUTE(_5__DAILY_USAGE_TREND[[#This Row],[TOTAL_DURATION]],"hour",":"),"min",""))</f>
        <v>0.88888888888888884</v>
      </c>
    </row>
    <row r="490" spans="1:8" x14ac:dyDescent="0.3">
      <c r="A490" s="1">
        <v>45614</v>
      </c>
      <c r="B490">
        <v>3</v>
      </c>
      <c r="C490">
        <v>2</v>
      </c>
      <c r="D490">
        <v>7</v>
      </c>
      <c r="E490">
        <v>3005</v>
      </c>
      <c r="F490">
        <v>3</v>
      </c>
      <c r="G490" t="s">
        <v>444</v>
      </c>
      <c r="H490">
        <f>TIMEVALUE(SUBSTITUTE(SUBSTITUTE(_5__DAILY_USAGE_TREND[[#This Row],[TOTAL_DURATION]],"hour",":"),"min",""))</f>
        <v>0.48194444444444445</v>
      </c>
    </row>
    <row r="491" spans="1:8" x14ac:dyDescent="0.3">
      <c r="A491" s="1">
        <v>45615</v>
      </c>
      <c r="B491">
        <v>3</v>
      </c>
      <c r="C491">
        <v>2</v>
      </c>
      <c r="D491">
        <v>8</v>
      </c>
      <c r="E491">
        <v>2203</v>
      </c>
      <c r="F491">
        <v>3</v>
      </c>
      <c r="G491" t="s">
        <v>216</v>
      </c>
      <c r="H491">
        <f>TIMEVALUE(SUBSTITUTE(SUBSTITUTE(_5__DAILY_USAGE_TREND[[#This Row],[TOTAL_DURATION]],"hour",":"),"min",""))</f>
        <v>0.16666666666666666</v>
      </c>
    </row>
    <row r="492" spans="1:8" x14ac:dyDescent="0.3">
      <c r="A492" s="1">
        <v>45616</v>
      </c>
      <c r="B492">
        <v>5</v>
      </c>
      <c r="C492">
        <v>5</v>
      </c>
      <c r="D492">
        <v>15</v>
      </c>
      <c r="E492">
        <v>4636</v>
      </c>
      <c r="F492">
        <v>5</v>
      </c>
      <c r="G492" t="s">
        <v>445</v>
      </c>
      <c r="H492">
        <f>TIMEVALUE(SUBSTITUTE(SUBSTITUTE(_5__DAILY_USAGE_TREND[[#This Row],[TOTAL_DURATION]],"hour",":"),"min",""))</f>
        <v>0.12777777777777777</v>
      </c>
    </row>
    <row r="493" spans="1:8" x14ac:dyDescent="0.3">
      <c r="A493" s="1">
        <v>45617</v>
      </c>
      <c r="B493">
        <v>3</v>
      </c>
      <c r="C493">
        <v>1</v>
      </c>
      <c r="D493">
        <v>6</v>
      </c>
      <c r="E493">
        <v>2855</v>
      </c>
      <c r="F493">
        <v>3</v>
      </c>
      <c r="G493" t="s">
        <v>446</v>
      </c>
      <c r="H493">
        <f>TIMEVALUE(SUBSTITUTE(SUBSTITUTE(_5__DAILY_USAGE_TREND[[#This Row],[TOTAL_DURATION]],"hour",":"),"min",""))</f>
        <v>0.62083333333333335</v>
      </c>
    </row>
    <row r="494" spans="1:8" x14ac:dyDescent="0.3">
      <c r="A494" s="1">
        <v>45618</v>
      </c>
      <c r="B494">
        <v>7</v>
      </c>
      <c r="C494">
        <v>5</v>
      </c>
      <c r="D494">
        <v>19</v>
      </c>
      <c r="E494">
        <v>6314</v>
      </c>
      <c r="F494">
        <v>7</v>
      </c>
      <c r="G494" t="s">
        <v>447</v>
      </c>
      <c r="H494">
        <f>TIMEVALUE(SUBSTITUTE(SUBSTITUTE(_5__DAILY_USAGE_TREND[[#This Row],[TOTAL_DURATION]],"hour",":"),"min",""))</f>
        <v>0.88680555555555551</v>
      </c>
    </row>
    <row r="495" spans="1:8" x14ac:dyDescent="0.3">
      <c r="A495" s="1">
        <v>45619</v>
      </c>
      <c r="B495">
        <v>3</v>
      </c>
      <c r="C495">
        <v>3</v>
      </c>
      <c r="D495">
        <v>9</v>
      </c>
      <c r="E495">
        <v>3635</v>
      </c>
      <c r="F495">
        <v>3</v>
      </c>
      <c r="G495" t="s">
        <v>448</v>
      </c>
      <c r="H495">
        <f>TIMEVALUE(SUBSTITUTE(SUBSTITUTE(_5__DAILY_USAGE_TREND[[#This Row],[TOTAL_DURATION]],"hour",":"),"min",""))</f>
        <v>0.34236111111111112</v>
      </c>
    </row>
    <row r="496" spans="1:8" x14ac:dyDescent="0.3">
      <c r="A496" s="1">
        <v>45621</v>
      </c>
      <c r="B496">
        <v>4</v>
      </c>
      <c r="C496">
        <v>3</v>
      </c>
      <c r="D496">
        <v>10</v>
      </c>
      <c r="E496">
        <v>3823</v>
      </c>
      <c r="F496">
        <v>4</v>
      </c>
      <c r="G496" t="s">
        <v>449</v>
      </c>
      <c r="H496">
        <f>TIMEVALUE(SUBSTITUTE(SUBSTITUTE(_5__DAILY_USAGE_TREND[[#This Row],[TOTAL_DURATION]],"hour",":"),"min",""))</f>
        <v>0.18055555555555558</v>
      </c>
    </row>
    <row r="497" spans="1:8" x14ac:dyDescent="0.3">
      <c r="A497" s="1">
        <v>45622</v>
      </c>
      <c r="B497">
        <v>3</v>
      </c>
      <c r="C497">
        <v>3</v>
      </c>
      <c r="D497">
        <v>4</v>
      </c>
      <c r="E497">
        <v>1354</v>
      </c>
      <c r="F497">
        <v>3</v>
      </c>
      <c r="G497" t="s">
        <v>205</v>
      </c>
      <c r="H497">
        <f>TIMEVALUE(SUBSTITUTE(SUBSTITUTE(_5__DAILY_USAGE_TREND[[#This Row],[TOTAL_DURATION]],"hour",":"),"min",""))</f>
        <v>0.12986111111111112</v>
      </c>
    </row>
    <row r="498" spans="1:8" x14ac:dyDescent="0.3">
      <c r="A498" s="1">
        <v>45623</v>
      </c>
      <c r="B498">
        <v>2</v>
      </c>
      <c r="C498">
        <v>2</v>
      </c>
      <c r="D498">
        <v>3</v>
      </c>
      <c r="E498">
        <v>1498</v>
      </c>
      <c r="F498">
        <v>2</v>
      </c>
      <c r="G498" t="s">
        <v>450</v>
      </c>
      <c r="H498">
        <f>TIMEVALUE(SUBSTITUTE(SUBSTITUTE(_5__DAILY_USAGE_TREND[[#This Row],[TOTAL_DURATION]],"hour",":"),"min",""))</f>
        <v>0.18958333333333333</v>
      </c>
    </row>
    <row r="499" spans="1:8" x14ac:dyDescent="0.3">
      <c r="A499" s="1">
        <v>45624</v>
      </c>
      <c r="B499">
        <v>2</v>
      </c>
      <c r="C499">
        <v>2</v>
      </c>
      <c r="D499">
        <v>8</v>
      </c>
      <c r="E499">
        <v>2308</v>
      </c>
      <c r="F499">
        <v>2</v>
      </c>
      <c r="G499" t="s">
        <v>179</v>
      </c>
      <c r="H499">
        <f>TIMEVALUE(SUBSTITUTE(SUBSTITUTE(_5__DAILY_USAGE_TREND[[#This Row],[TOTAL_DURATION]],"hour",":"),"min",""))</f>
        <v>0.13125000000000001</v>
      </c>
    </row>
    <row r="500" spans="1:8" x14ac:dyDescent="0.3">
      <c r="A500" s="1">
        <v>45625</v>
      </c>
      <c r="B500">
        <v>5</v>
      </c>
      <c r="C500">
        <v>5</v>
      </c>
      <c r="D500">
        <v>9</v>
      </c>
      <c r="E500">
        <v>3836</v>
      </c>
      <c r="F500">
        <v>5</v>
      </c>
      <c r="G500" t="s">
        <v>297</v>
      </c>
      <c r="H500">
        <f>TIMEVALUE(SUBSTITUTE(SUBSTITUTE(_5__DAILY_USAGE_TREND[[#This Row],[TOTAL_DURATION]],"hour",":"),"min",""))</f>
        <v>0.13958333333333334</v>
      </c>
    </row>
    <row r="501" spans="1:8" x14ac:dyDescent="0.3">
      <c r="A501" s="1">
        <v>45626</v>
      </c>
      <c r="B501">
        <v>8</v>
      </c>
      <c r="C501">
        <v>6</v>
      </c>
      <c r="D501">
        <v>16</v>
      </c>
      <c r="E501">
        <v>4781</v>
      </c>
      <c r="F501">
        <v>8</v>
      </c>
      <c r="G501" t="s">
        <v>383</v>
      </c>
      <c r="H501">
        <f>TIMEVALUE(SUBSTITUTE(SUBSTITUTE(_5__DAILY_USAGE_TREND[[#This Row],[TOTAL_DURATION]],"hour",":"),"min",""))</f>
        <v>0.57013888888888886</v>
      </c>
    </row>
    <row r="502" spans="1:8" x14ac:dyDescent="0.3">
      <c r="A502" s="1">
        <v>45627</v>
      </c>
      <c r="B502">
        <v>4</v>
      </c>
      <c r="C502">
        <v>3</v>
      </c>
      <c r="D502">
        <v>7</v>
      </c>
      <c r="E502">
        <v>2805</v>
      </c>
      <c r="F502">
        <v>4</v>
      </c>
      <c r="G502" t="s">
        <v>451</v>
      </c>
      <c r="H502">
        <f>TIMEVALUE(SUBSTITUTE(SUBSTITUTE(_5__DAILY_USAGE_TREND[[#This Row],[TOTAL_DURATION]],"hour",":"),"min",""))</f>
        <v>0.79027777777777775</v>
      </c>
    </row>
    <row r="503" spans="1:8" x14ac:dyDescent="0.3">
      <c r="A503" s="1">
        <v>45628</v>
      </c>
      <c r="B503">
        <v>7</v>
      </c>
      <c r="C503">
        <v>5</v>
      </c>
      <c r="D503">
        <v>20</v>
      </c>
      <c r="E503">
        <v>8091</v>
      </c>
      <c r="F503">
        <v>7</v>
      </c>
      <c r="G503" t="s">
        <v>452</v>
      </c>
      <c r="H503">
        <f>TIMEVALUE(SUBSTITUTE(SUBSTITUTE(_5__DAILY_USAGE_TREND[[#This Row],[TOTAL_DURATION]],"hour",":"),"min",""))</f>
        <v>0.83055555555555549</v>
      </c>
    </row>
    <row r="504" spans="1:8" x14ac:dyDescent="0.3">
      <c r="A504" s="1">
        <v>45629</v>
      </c>
      <c r="B504">
        <v>4</v>
      </c>
      <c r="C504">
        <v>4</v>
      </c>
      <c r="D504">
        <v>16</v>
      </c>
      <c r="E504">
        <v>6719</v>
      </c>
      <c r="F504">
        <v>4</v>
      </c>
      <c r="G504" t="s">
        <v>453</v>
      </c>
      <c r="H504">
        <f>TIMEVALUE(SUBSTITUTE(SUBSTITUTE(_5__DAILY_USAGE_TREND[[#This Row],[TOTAL_DURATION]],"hour",":"),"min",""))</f>
        <v>3.8194444444444642E-2</v>
      </c>
    </row>
    <row r="505" spans="1:8" x14ac:dyDescent="0.3">
      <c r="A505" s="1">
        <v>45630</v>
      </c>
      <c r="B505">
        <v>4</v>
      </c>
      <c r="C505">
        <v>3</v>
      </c>
      <c r="D505">
        <v>7</v>
      </c>
      <c r="E505">
        <v>3116</v>
      </c>
      <c r="F505">
        <v>4</v>
      </c>
      <c r="G505" t="s">
        <v>195</v>
      </c>
      <c r="H505">
        <f>TIMEVALUE(SUBSTITUTE(SUBSTITUTE(_5__DAILY_USAGE_TREND[[#This Row],[TOTAL_DURATION]],"hour",":"),"min",""))</f>
        <v>0.62638888888888888</v>
      </c>
    </row>
    <row r="506" spans="1:8" x14ac:dyDescent="0.3">
      <c r="A506" s="1">
        <v>45631</v>
      </c>
      <c r="B506">
        <v>8</v>
      </c>
      <c r="C506">
        <v>6</v>
      </c>
      <c r="D506">
        <v>17</v>
      </c>
      <c r="E506">
        <v>5501</v>
      </c>
      <c r="F506">
        <v>8</v>
      </c>
      <c r="G506" t="s">
        <v>375</v>
      </c>
      <c r="H506">
        <f>TIMEVALUE(SUBSTITUTE(SUBSTITUTE(_5__DAILY_USAGE_TREND[[#This Row],[TOTAL_DURATION]],"hour",":"),"min",""))</f>
        <v>0.67986111111111114</v>
      </c>
    </row>
    <row r="507" spans="1:8" x14ac:dyDescent="0.3">
      <c r="A507" s="1">
        <v>45632</v>
      </c>
      <c r="B507">
        <v>5</v>
      </c>
      <c r="C507">
        <v>4</v>
      </c>
      <c r="D507">
        <v>15</v>
      </c>
      <c r="E507">
        <v>5061</v>
      </c>
      <c r="F507">
        <v>5</v>
      </c>
      <c r="G507" t="s">
        <v>454</v>
      </c>
      <c r="H507">
        <f>TIMEVALUE(SUBSTITUTE(SUBSTITUTE(_5__DAILY_USAGE_TREND[[#This Row],[TOTAL_DURATION]],"hour",":"),"min",""))</f>
        <v>0.41319444444444442</v>
      </c>
    </row>
    <row r="508" spans="1:8" x14ac:dyDescent="0.3">
      <c r="A508" s="1">
        <v>45633</v>
      </c>
      <c r="B508">
        <v>3</v>
      </c>
      <c r="C508">
        <v>3</v>
      </c>
      <c r="D508">
        <v>9</v>
      </c>
      <c r="E508">
        <v>3534</v>
      </c>
      <c r="F508">
        <v>3</v>
      </c>
      <c r="G508" t="s">
        <v>455</v>
      </c>
      <c r="H508">
        <f>TIMEVALUE(SUBSTITUTE(SUBSTITUTE(_5__DAILY_USAGE_TREND[[#This Row],[TOTAL_DURATION]],"hour",":"),"min",""))</f>
        <v>0.34513888888888888</v>
      </c>
    </row>
    <row r="509" spans="1:8" x14ac:dyDescent="0.3">
      <c r="A509" s="1">
        <v>45634</v>
      </c>
      <c r="B509">
        <v>1</v>
      </c>
      <c r="C509">
        <v>1</v>
      </c>
      <c r="D509">
        <v>1</v>
      </c>
      <c r="E509">
        <v>799</v>
      </c>
      <c r="F509">
        <v>1</v>
      </c>
      <c r="G509" t="s">
        <v>456</v>
      </c>
      <c r="H509">
        <f>TIMEVALUE(SUBSTITUTE(SUBSTITUTE(_5__DAILY_USAGE_TREND[[#This Row],[TOTAL_DURATION]],"hour",":"),"min",""))</f>
        <v>4.027777777777778E-2</v>
      </c>
    </row>
    <row r="510" spans="1:8" x14ac:dyDescent="0.3">
      <c r="A510" s="1">
        <v>45635</v>
      </c>
      <c r="B510">
        <v>7</v>
      </c>
      <c r="C510">
        <v>5</v>
      </c>
      <c r="D510">
        <v>17</v>
      </c>
      <c r="E510">
        <v>5315</v>
      </c>
      <c r="F510">
        <v>7</v>
      </c>
      <c r="G510" t="s">
        <v>457</v>
      </c>
      <c r="H510">
        <f>TIMEVALUE(SUBSTITUTE(SUBSTITUTE(_5__DAILY_USAGE_TREND[[#This Row],[TOTAL_DURATION]],"hour",":"),"min",""))</f>
        <v>0.92986111111111114</v>
      </c>
    </row>
    <row r="511" spans="1:8" x14ac:dyDescent="0.3">
      <c r="A511" s="1">
        <v>45636</v>
      </c>
      <c r="B511">
        <v>2</v>
      </c>
      <c r="C511">
        <v>2</v>
      </c>
      <c r="D511">
        <v>3</v>
      </c>
      <c r="E511">
        <v>1035</v>
      </c>
      <c r="F511">
        <v>2</v>
      </c>
      <c r="G511" t="s">
        <v>458</v>
      </c>
      <c r="H511">
        <f>TIMEVALUE(SUBSTITUTE(SUBSTITUTE(_5__DAILY_USAGE_TREND[[#This Row],[TOTAL_DURATION]],"hour",":"),"min",""))</f>
        <v>4.0972222222222222E-2</v>
      </c>
    </row>
    <row r="512" spans="1:8" x14ac:dyDescent="0.3">
      <c r="A512" s="1">
        <v>45637</v>
      </c>
      <c r="B512">
        <v>5</v>
      </c>
      <c r="C512">
        <v>5</v>
      </c>
      <c r="D512">
        <v>15</v>
      </c>
      <c r="E512">
        <v>5969</v>
      </c>
      <c r="F512">
        <v>5</v>
      </c>
      <c r="G512" t="s">
        <v>459</v>
      </c>
      <c r="H512">
        <f>TIMEVALUE(SUBSTITUTE(SUBSTITUTE(_5__DAILY_USAGE_TREND[[#This Row],[TOTAL_DURATION]],"hour",":"),"min",""))</f>
        <v>0.9291666666666667</v>
      </c>
    </row>
    <row r="513" spans="1:8" x14ac:dyDescent="0.3">
      <c r="A513" s="1">
        <v>45638</v>
      </c>
      <c r="B513">
        <v>6</v>
      </c>
      <c r="C513">
        <v>5</v>
      </c>
      <c r="D513">
        <v>13</v>
      </c>
      <c r="E513">
        <v>4163</v>
      </c>
      <c r="F513">
        <v>6</v>
      </c>
      <c r="G513" t="s">
        <v>460</v>
      </c>
      <c r="H513">
        <f>TIMEVALUE(SUBSTITUTE(SUBSTITUTE(_5__DAILY_USAGE_TREND[[#This Row],[TOTAL_DURATION]],"hour",":"),"min",""))</f>
        <v>0.82152777777777775</v>
      </c>
    </row>
    <row r="514" spans="1:8" x14ac:dyDescent="0.3">
      <c r="A514" s="1">
        <v>45639</v>
      </c>
      <c r="B514">
        <v>8</v>
      </c>
      <c r="C514">
        <v>6</v>
      </c>
      <c r="D514">
        <v>22</v>
      </c>
      <c r="E514">
        <v>9144</v>
      </c>
      <c r="F514">
        <v>8</v>
      </c>
      <c r="G514" t="s">
        <v>461</v>
      </c>
      <c r="H514">
        <f>TIMEVALUE(SUBSTITUTE(SUBSTITUTE(_5__DAILY_USAGE_TREND[[#This Row],[TOTAL_DURATION]],"hour",":"),"min",""))</f>
        <v>5.9027777777777679E-2</v>
      </c>
    </row>
    <row r="515" spans="1:8" x14ac:dyDescent="0.3">
      <c r="A515" s="1">
        <v>45640</v>
      </c>
      <c r="B515">
        <v>6</v>
      </c>
      <c r="C515">
        <v>5</v>
      </c>
      <c r="D515">
        <v>11</v>
      </c>
      <c r="E515">
        <v>4800</v>
      </c>
      <c r="F515">
        <v>6</v>
      </c>
      <c r="G515" t="s">
        <v>462</v>
      </c>
      <c r="H515">
        <f>TIMEVALUE(SUBSTITUTE(SUBSTITUTE(_5__DAILY_USAGE_TREND[[#This Row],[TOTAL_DURATION]],"hour",":"),"min",""))</f>
        <v>0.6118055555555556</v>
      </c>
    </row>
    <row r="516" spans="1:8" x14ac:dyDescent="0.3">
      <c r="A516" s="1">
        <v>45641</v>
      </c>
      <c r="B516">
        <v>4</v>
      </c>
      <c r="C516">
        <v>4</v>
      </c>
      <c r="D516">
        <v>10</v>
      </c>
      <c r="E516">
        <v>3415</v>
      </c>
      <c r="F516">
        <v>4</v>
      </c>
      <c r="G516" t="s">
        <v>463</v>
      </c>
      <c r="H516">
        <f>TIMEVALUE(SUBSTITUTE(SUBSTITUTE(_5__DAILY_USAGE_TREND[[#This Row],[TOTAL_DURATION]],"hour",":"),"min",""))</f>
        <v>0.22777777777777786</v>
      </c>
    </row>
    <row r="517" spans="1:8" x14ac:dyDescent="0.3">
      <c r="A517" s="1">
        <v>45642</v>
      </c>
      <c r="B517">
        <v>4</v>
      </c>
      <c r="C517">
        <v>2</v>
      </c>
      <c r="D517">
        <v>10</v>
      </c>
      <c r="E517">
        <v>3015</v>
      </c>
      <c r="F517">
        <v>4</v>
      </c>
      <c r="G517" t="s">
        <v>229</v>
      </c>
      <c r="H517">
        <f>TIMEVALUE(SUBSTITUTE(SUBSTITUTE(_5__DAILY_USAGE_TREND[[#This Row],[TOTAL_DURATION]],"hour",":"),"min",""))</f>
        <v>0.44305555555555554</v>
      </c>
    </row>
    <row r="518" spans="1:8" x14ac:dyDescent="0.3">
      <c r="A518" s="1">
        <v>45643</v>
      </c>
      <c r="B518">
        <v>4</v>
      </c>
      <c r="C518">
        <v>3</v>
      </c>
      <c r="D518">
        <v>7</v>
      </c>
      <c r="E518">
        <v>2050</v>
      </c>
      <c r="F518">
        <v>4</v>
      </c>
      <c r="G518" t="s">
        <v>464</v>
      </c>
      <c r="H518">
        <f>TIMEVALUE(SUBSTITUTE(SUBSTITUTE(_5__DAILY_USAGE_TREND[[#This Row],[TOTAL_DURATION]],"hour",":"),"min",""))</f>
        <v>0.31388888888888888</v>
      </c>
    </row>
    <row r="519" spans="1:8" x14ac:dyDescent="0.3">
      <c r="A519" s="1">
        <v>45644</v>
      </c>
      <c r="B519">
        <v>4</v>
      </c>
      <c r="C519">
        <v>4</v>
      </c>
      <c r="D519">
        <v>7</v>
      </c>
      <c r="E519">
        <v>1892</v>
      </c>
      <c r="F519">
        <v>4</v>
      </c>
      <c r="G519" t="s">
        <v>465</v>
      </c>
      <c r="H519">
        <f>TIMEVALUE(SUBSTITUTE(SUBSTITUTE(_5__DAILY_USAGE_TREND[[#This Row],[TOTAL_DURATION]],"hour",":"),"min",""))</f>
        <v>0.13055555555555556</v>
      </c>
    </row>
    <row r="520" spans="1:8" x14ac:dyDescent="0.3">
      <c r="A520" s="1">
        <v>45645</v>
      </c>
      <c r="B520">
        <v>3</v>
      </c>
      <c r="C520">
        <v>3</v>
      </c>
      <c r="D520">
        <v>8</v>
      </c>
      <c r="E520">
        <v>2983</v>
      </c>
      <c r="F520">
        <v>3</v>
      </c>
      <c r="G520" t="s">
        <v>466</v>
      </c>
      <c r="H520">
        <f>TIMEVALUE(SUBSTITUTE(SUBSTITUTE(_5__DAILY_USAGE_TREND[[#This Row],[TOTAL_DURATION]],"hour",":"),"min",""))</f>
        <v>0.25277777777777777</v>
      </c>
    </row>
    <row r="521" spans="1:8" x14ac:dyDescent="0.3">
      <c r="A521" s="1">
        <v>45646</v>
      </c>
      <c r="B521">
        <v>8</v>
      </c>
      <c r="C521">
        <v>6</v>
      </c>
      <c r="D521">
        <v>16</v>
      </c>
      <c r="E521">
        <v>5470</v>
      </c>
      <c r="F521">
        <v>8</v>
      </c>
      <c r="G521" t="s">
        <v>467</v>
      </c>
      <c r="H521">
        <f>TIMEVALUE(SUBSTITUTE(SUBSTITUTE(_5__DAILY_USAGE_TREND[[#This Row],[TOTAL_DURATION]],"hour",":"),"min",""))</f>
        <v>0.46111111111111103</v>
      </c>
    </row>
    <row r="522" spans="1:8" x14ac:dyDescent="0.3">
      <c r="A522" s="1">
        <v>45647</v>
      </c>
      <c r="B522">
        <v>5</v>
      </c>
      <c r="C522">
        <v>4</v>
      </c>
      <c r="D522">
        <v>10</v>
      </c>
      <c r="E522">
        <v>3448</v>
      </c>
      <c r="F522">
        <v>5</v>
      </c>
      <c r="G522" t="s">
        <v>468</v>
      </c>
      <c r="H522">
        <f>TIMEVALUE(SUBSTITUTE(SUBSTITUTE(_5__DAILY_USAGE_TREND[[#This Row],[TOTAL_DURATION]],"hour",":"),"min",""))</f>
        <v>0.22291666666666668</v>
      </c>
    </row>
    <row r="523" spans="1:8" x14ac:dyDescent="0.3">
      <c r="A523" s="1">
        <v>45648</v>
      </c>
      <c r="B523">
        <v>9</v>
      </c>
      <c r="C523">
        <v>6</v>
      </c>
      <c r="D523">
        <v>18</v>
      </c>
      <c r="E523">
        <v>7046</v>
      </c>
      <c r="F523">
        <v>9</v>
      </c>
      <c r="G523" t="s">
        <v>257</v>
      </c>
      <c r="H523">
        <f>TIMEVALUE(SUBSTITUTE(SUBSTITUTE(_5__DAILY_USAGE_TREND[[#This Row],[TOTAL_DURATION]],"hour",":"),"min",""))</f>
        <v>0.85069444444444442</v>
      </c>
    </row>
    <row r="524" spans="1:8" x14ac:dyDescent="0.3">
      <c r="A524" s="1">
        <v>45649</v>
      </c>
      <c r="B524">
        <v>1</v>
      </c>
      <c r="C524">
        <v>1</v>
      </c>
      <c r="D524">
        <v>2</v>
      </c>
      <c r="E524">
        <v>665</v>
      </c>
      <c r="F524">
        <v>1</v>
      </c>
      <c r="G524" t="s">
        <v>469</v>
      </c>
      <c r="H524">
        <f>TIMEVALUE(SUBSTITUTE(SUBSTITUTE(_5__DAILY_USAGE_TREND[[#This Row],[TOTAL_DURATION]],"hour",":"),"min",""))</f>
        <v>0.35833333333333334</v>
      </c>
    </row>
    <row r="525" spans="1:8" x14ac:dyDescent="0.3">
      <c r="A525" s="1">
        <v>45650</v>
      </c>
      <c r="B525">
        <v>5</v>
      </c>
      <c r="C525">
        <v>4</v>
      </c>
      <c r="D525">
        <v>9</v>
      </c>
      <c r="E525">
        <v>2754</v>
      </c>
      <c r="F525">
        <v>5</v>
      </c>
      <c r="G525" t="s">
        <v>85</v>
      </c>
      <c r="H525">
        <f>TIMEVALUE(SUBSTITUTE(SUBSTITUTE(_5__DAILY_USAGE_TREND[[#This Row],[TOTAL_DURATION]],"hour",":"),"min",""))</f>
        <v>0.59722222222222221</v>
      </c>
    </row>
    <row r="526" spans="1:8" x14ac:dyDescent="0.3">
      <c r="A526" s="1">
        <v>45651</v>
      </c>
      <c r="B526">
        <v>3</v>
      </c>
      <c r="C526">
        <v>3</v>
      </c>
      <c r="D526">
        <v>5</v>
      </c>
      <c r="E526">
        <v>1944</v>
      </c>
      <c r="F526">
        <v>3</v>
      </c>
      <c r="G526" t="s">
        <v>470</v>
      </c>
      <c r="H526">
        <f>TIMEVALUE(SUBSTITUTE(SUBSTITUTE(_5__DAILY_USAGE_TREND[[#This Row],[TOTAL_DURATION]],"hour",":"),"min",""))</f>
        <v>0.15625</v>
      </c>
    </row>
    <row r="527" spans="1:8" x14ac:dyDescent="0.3">
      <c r="A527" s="1">
        <v>45652</v>
      </c>
      <c r="B527">
        <v>6</v>
      </c>
      <c r="C527">
        <v>5</v>
      </c>
      <c r="D527">
        <v>13</v>
      </c>
      <c r="E527">
        <v>6297</v>
      </c>
      <c r="F527">
        <v>6</v>
      </c>
      <c r="G527" t="s">
        <v>471</v>
      </c>
      <c r="H527">
        <f>TIMEVALUE(SUBSTITUTE(SUBSTITUTE(_5__DAILY_USAGE_TREND[[#This Row],[TOTAL_DURATION]],"hour",":"),"min",""))</f>
        <v>0.60138888888888886</v>
      </c>
    </row>
    <row r="528" spans="1:8" x14ac:dyDescent="0.3">
      <c r="A528" s="1">
        <v>45653</v>
      </c>
      <c r="B528">
        <v>2</v>
      </c>
      <c r="C528">
        <v>2</v>
      </c>
      <c r="D528">
        <v>2</v>
      </c>
      <c r="E528">
        <v>828</v>
      </c>
      <c r="F528">
        <v>2</v>
      </c>
      <c r="G528" t="s">
        <v>244</v>
      </c>
      <c r="H528">
        <f>TIMEVALUE(SUBSTITUTE(SUBSTITUTE(_5__DAILY_USAGE_TREND[[#This Row],[TOTAL_DURATION]],"hour",":"),"min",""))</f>
        <v>2.7083333333333334E-2</v>
      </c>
    </row>
    <row r="529" spans="1:8" x14ac:dyDescent="0.3">
      <c r="A529" s="1">
        <v>45654</v>
      </c>
      <c r="B529">
        <v>5</v>
      </c>
      <c r="C529">
        <v>4</v>
      </c>
      <c r="D529">
        <v>9</v>
      </c>
      <c r="E529">
        <v>2656</v>
      </c>
      <c r="F529">
        <v>5</v>
      </c>
      <c r="G529" t="s">
        <v>472</v>
      </c>
      <c r="H529">
        <f>TIMEVALUE(SUBSTITUTE(SUBSTITUTE(_5__DAILY_USAGE_TREND[[#This Row],[TOTAL_DURATION]],"hour",":"),"min",""))</f>
        <v>0.58472222222222225</v>
      </c>
    </row>
    <row r="530" spans="1:8" x14ac:dyDescent="0.3">
      <c r="A530" s="1">
        <v>45655</v>
      </c>
      <c r="B530">
        <v>4</v>
      </c>
      <c r="C530">
        <v>4</v>
      </c>
      <c r="D530">
        <v>8</v>
      </c>
      <c r="E530">
        <v>3192</v>
      </c>
      <c r="F530">
        <v>4</v>
      </c>
      <c r="G530" t="s">
        <v>473</v>
      </c>
      <c r="H530">
        <f>TIMEVALUE(SUBSTITUTE(SUBSTITUTE(_5__DAILY_USAGE_TREND[[#This Row],[TOTAL_DURATION]],"hour",":"),"min",""))</f>
        <v>0.84375</v>
      </c>
    </row>
    <row r="531" spans="1:8" x14ac:dyDescent="0.3">
      <c r="A531" s="1">
        <v>45656</v>
      </c>
      <c r="B531">
        <v>3</v>
      </c>
      <c r="C531">
        <v>3</v>
      </c>
      <c r="D531">
        <v>7</v>
      </c>
      <c r="E531">
        <v>2856</v>
      </c>
      <c r="F531">
        <v>3</v>
      </c>
      <c r="G531" t="s">
        <v>474</v>
      </c>
      <c r="H531">
        <f>TIMEVALUE(SUBSTITUTE(SUBSTITUTE(_5__DAILY_USAGE_TREND[[#This Row],[TOTAL_DURATION]],"hour",":"),"min",""))</f>
        <v>0.23402777777777778</v>
      </c>
    </row>
    <row r="532" spans="1:8" x14ac:dyDescent="0.3">
      <c r="A532" s="1">
        <v>45657</v>
      </c>
      <c r="B532">
        <v>7</v>
      </c>
      <c r="C532">
        <v>6</v>
      </c>
      <c r="D532">
        <v>17</v>
      </c>
      <c r="E532">
        <v>4490</v>
      </c>
      <c r="F532">
        <v>7</v>
      </c>
      <c r="G532" t="s">
        <v>475</v>
      </c>
      <c r="H532">
        <f>TIMEVALUE(SUBSTITUTE(SUBSTITUTE(_5__DAILY_USAGE_TREND[[#This Row],[TOTAL_DURATION]],"hour",":"),"min",""))</f>
        <v>0.52777777777777779</v>
      </c>
    </row>
    <row r="533" spans="1:8" x14ac:dyDescent="0.3">
      <c r="A533" s="1">
        <v>45658</v>
      </c>
      <c r="B533">
        <v>6</v>
      </c>
      <c r="C533">
        <v>5</v>
      </c>
      <c r="D533">
        <v>15</v>
      </c>
      <c r="E533">
        <v>4542</v>
      </c>
      <c r="F533">
        <v>6</v>
      </c>
      <c r="G533" t="s">
        <v>476</v>
      </c>
      <c r="H533">
        <f>TIMEVALUE(SUBSTITUTE(SUBSTITUTE(_5__DAILY_USAGE_TREND[[#This Row],[TOTAL_DURATION]],"hour",":"),"min",""))</f>
        <v>1.4583333333333393E-2</v>
      </c>
    </row>
    <row r="534" spans="1:8" x14ac:dyDescent="0.3">
      <c r="A534" s="1">
        <v>45659</v>
      </c>
      <c r="B534">
        <v>5</v>
      </c>
      <c r="C534">
        <v>4</v>
      </c>
      <c r="D534">
        <v>15</v>
      </c>
      <c r="E534">
        <v>4285</v>
      </c>
      <c r="F534">
        <v>5</v>
      </c>
      <c r="G534" t="s">
        <v>477</v>
      </c>
      <c r="H534">
        <f>TIMEVALUE(SUBSTITUTE(SUBSTITUTE(_5__DAILY_USAGE_TREND[[#This Row],[TOTAL_DURATION]],"hour",":"),"min",""))</f>
        <v>0.47847222222222224</v>
      </c>
    </row>
    <row r="535" spans="1:8" x14ac:dyDescent="0.3">
      <c r="A535" s="1">
        <v>45660</v>
      </c>
      <c r="B535">
        <v>4</v>
      </c>
      <c r="C535">
        <v>3</v>
      </c>
      <c r="D535">
        <v>13</v>
      </c>
      <c r="E535">
        <v>5733</v>
      </c>
      <c r="F535">
        <v>4</v>
      </c>
      <c r="G535" t="s">
        <v>478</v>
      </c>
      <c r="H535">
        <f>TIMEVALUE(SUBSTITUTE(SUBSTITUTE(_5__DAILY_USAGE_TREND[[#This Row],[TOTAL_DURATION]],"hour",":"),"min",""))</f>
        <v>0.56527777777777777</v>
      </c>
    </row>
    <row r="536" spans="1:8" x14ac:dyDescent="0.3">
      <c r="A536" s="1">
        <v>45661</v>
      </c>
      <c r="B536">
        <v>3</v>
      </c>
      <c r="C536">
        <v>2</v>
      </c>
      <c r="D536">
        <v>8</v>
      </c>
      <c r="E536">
        <v>2652</v>
      </c>
      <c r="F536">
        <v>3</v>
      </c>
      <c r="G536" t="s">
        <v>191</v>
      </c>
      <c r="H536">
        <f>TIMEVALUE(SUBSTITUTE(SUBSTITUTE(_5__DAILY_USAGE_TREND[[#This Row],[TOTAL_DURATION]],"hour",":"),"min",""))</f>
        <v>0.54652777777777772</v>
      </c>
    </row>
    <row r="537" spans="1:8" x14ac:dyDescent="0.3">
      <c r="A537" s="1">
        <v>45662</v>
      </c>
      <c r="B537">
        <v>3</v>
      </c>
      <c r="C537">
        <v>3</v>
      </c>
      <c r="D537">
        <v>5</v>
      </c>
      <c r="E537">
        <v>1938</v>
      </c>
      <c r="F537">
        <v>3</v>
      </c>
      <c r="G537" t="s">
        <v>274</v>
      </c>
      <c r="H537">
        <f>TIMEVALUE(SUBSTITUTE(SUBSTITUTE(_5__DAILY_USAGE_TREND[[#This Row],[TOTAL_DURATION]],"hour",":"),"min",""))</f>
        <v>0.28680555555555554</v>
      </c>
    </row>
    <row r="538" spans="1:8" x14ac:dyDescent="0.3">
      <c r="A538" s="1">
        <v>45663</v>
      </c>
      <c r="B538">
        <v>6</v>
      </c>
      <c r="C538">
        <v>4</v>
      </c>
      <c r="D538">
        <v>12</v>
      </c>
      <c r="E538">
        <v>4839</v>
      </c>
      <c r="F538">
        <v>6</v>
      </c>
      <c r="G538" t="s">
        <v>479</v>
      </c>
      <c r="H538">
        <f>TIMEVALUE(SUBSTITUTE(SUBSTITUTE(_5__DAILY_USAGE_TREND[[#This Row],[TOTAL_DURATION]],"hour",":"),"min",""))</f>
        <v>0.19861111111111107</v>
      </c>
    </row>
    <row r="539" spans="1:8" x14ac:dyDescent="0.3">
      <c r="A539" s="1">
        <v>45664</v>
      </c>
      <c r="B539">
        <v>6</v>
      </c>
      <c r="C539">
        <v>3</v>
      </c>
      <c r="D539">
        <v>15</v>
      </c>
      <c r="E539">
        <v>4092</v>
      </c>
      <c r="F539">
        <v>6</v>
      </c>
      <c r="G539" t="s">
        <v>480</v>
      </c>
      <c r="H539">
        <f>TIMEVALUE(SUBSTITUTE(SUBSTITUTE(_5__DAILY_USAGE_TREND[[#This Row],[TOTAL_DURATION]],"hour",":"),"min",""))</f>
        <v>0.7944444444444444</v>
      </c>
    </row>
    <row r="540" spans="1:8" x14ac:dyDescent="0.3">
      <c r="A540" s="1">
        <v>45665</v>
      </c>
      <c r="B540">
        <v>4</v>
      </c>
      <c r="C540">
        <v>4</v>
      </c>
      <c r="D540">
        <v>9</v>
      </c>
      <c r="E540">
        <v>3328</v>
      </c>
      <c r="F540">
        <v>4</v>
      </c>
      <c r="G540" t="s">
        <v>481</v>
      </c>
      <c r="H540">
        <f>TIMEVALUE(SUBSTITUTE(SUBSTITUTE(_5__DAILY_USAGE_TREND[[#This Row],[TOTAL_DURATION]],"hour",":"),"min",""))</f>
        <v>0.67708333333333337</v>
      </c>
    </row>
    <row r="541" spans="1:8" x14ac:dyDescent="0.3">
      <c r="A541" s="1">
        <v>45666</v>
      </c>
      <c r="B541">
        <v>9</v>
      </c>
      <c r="C541">
        <v>6</v>
      </c>
      <c r="D541">
        <v>25</v>
      </c>
      <c r="E541">
        <v>8763</v>
      </c>
      <c r="F541">
        <v>9</v>
      </c>
      <c r="G541" t="s">
        <v>482</v>
      </c>
      <c r="H541">
        <f>TIMEVALUE(SUBSTITUTE(SUBSTITUTE(_5__DAILY_USAGE_TREND[[#This Row],[TOTAL_DURATION]],"hour",":"),"min",""))</f>
        <v>0.17708333333333326</v>
      </c>
    </row>
    <row r="542" spans="1:8" x14ac:dyDescent="0.3">
      <c r="A542" s="1">
        <v>45667</v>
      </c>
      <c r="B542">
        <v>2</v>
      </c>
      <c r="C542">
        <v>2</v>
      </c>
      <c r="D542">
        <v>7</v>
      </c>
      <c r="E542">
        <v>2531</v>
      </c>
      <c r="F542">
        <v>2</v>
      </c>
      <c r="G542" t="s">
        <v>483</v>
      </c>
      <c r="H542">
        <f>TIMEVALUE(SUBSTITUTE(SUBSTITUTE(_5__DAILY_USAGE_TREND[[#This Row],[TOTAL_DURATION]],"hour",":"),"min",""))</f>
        <v>0.60972222222222228</v>
      </c>
    </row>
    <row r="543" spans="1:8" x14ac:dyDescent="0.3">
      <c r="A543" s="1">
        <v>45668</v>
      </c>
      <c r="B543">
        <v>2</v>
      </c>
      <c r="C543">
        <v>2</v>
      </c>
      <c r="D543">
        <v>3</v>
      </c>
      <c r="E543">
        <v>1034</v>
      </c>
      <c r="F543">
        <v>2</v>
      </c>
      <c r="G543" t="s">
        <v>402</v>
      </c>
      <c r="H543">
        <f>TIMEVALUE(SUBSTITUTE(SUBSTITUTE(_5__DAILY_USAGE_TREND[[#This Row],[TOTAL_DURATION]],"hour",":"),"min",""))</f>
        <v>0.26874999999999999</v>
      </c>
    </row>
    <row r="544" spans="1:8" x14ac:dyDescent="0.3">
      <c r="A544" s="1">
        <v>45669</v>
      </c>
      <c r="B544">
        <v>4</v>
      </c>
      <c r="C544">
        <v>3</v>
      </c>
      <c r="D544">
        <v>9</v>
      </c>
      <c r="E544">
        <v>3174</v>
      </c>
      <c r="F544">
        <v>4</v>
      </c>
      <c r="G544" t="s">
        <v>484</v>
      </c>
      <c r="H544">
        <f>TIMEVALUE(SUBSTITUTE(SUBSTITUTE(_5__DAILY_USAGE_TREND[[#This Row],[TOTAL_DURATION]],"hour",":"),"min",""))</f>
        <v>0.19791666666666666</v>
      </c>
    </row>
    <row r="545" spans="1:8" x14ac:dyDescent="0.3">
      <c r="A545" s="1">
        <v>45670</v>
      </c>
      <c r="B545">
        <v>3</v>
      </c>
      <c r="C545">
        <v>3</v>
      </c>
      <c r="D545">
        <v>7</v>
      </c>
      <c r="E545">
        <v>3045</v>
      </c>
      <c r="F545">
        <v>3</v>
      </c>
      <c r="G545" t="s">
        <v>485</v>
      </c>
      <c r="H545">
        <f>TIMEVALUE(SUBSTITUTE(SUBSTITUTE(_5__DAILY_USAGE_TREND[[#This Row],[TOTAL_DURATION]],"hour",":"),"min",""))</f>
        <v>0.31319444444444444</v>
      </c>
    </row>
    <row r="546" spans="1:8" x14ac:dyDescent="0.3">
      <c r="A546" s="1">
        <v>45671</v>
      </c>
      <c r="B546">
        <v>4</v>
      </c>
      <c r="C546">
        <v>4</v>
      </c>
      <c r="D546">
        <v>9</v>
      </c>
      <c r="E546">
        <v>4206</v>
      </c>
      <c r="F546">
        <v>4</v>
      </c>
      <c r="G546" t="s">
        <v>274</v>
      </c>
      <c r="H546">
        <f>TIMEVALUE(SUBSTITUTE(SUBSTITUTE(_5__DAILY_USAGE_TREND[[#This Row],[TOTAL_DURATION]],"hour",":"),"min",""))</f>
        <v>0.28680555555555554</v>
      </c>
    </row>
    <row r="547" spans="1:8" x14ac:dyDescent="0.3">
      <c r="A547" s="1">
        <v>45672</v>
      </c>
      <c r="B547">
        <v>2</v>
      </c>
      <c r="C547">
        <v>1</v>
      </c>
      <c r="D547">
        <v>6</v>
      </c>
      <c r="E547">
        <v>2488</v>
      </c>
      <c r="F547">
        <v>2</v>
      </c>
      <c r="G547" t="s">
        <v>486</v>
      </c>
      <c r="H547">
        <f>TIMEVALUE(SUBSTITUTE(SUBSTITUTE(_5__DAILY_USAGE_TREND[[#This Row],[TOTAL_DURATION]],"hour",":"),"min",""))</f>
        <v>0.16944444444444445</v>
      </c>
    </row>
    <row r="548" spans="1:8" x14ac:dyDescent="0.3">
      <c r="A548" s="1">
        <v>45673</v>
      </c>
      <c r="B548">
        <v>2</v>
      </c>
      <c r="C548">
        <v>1</v>
      </c>
      <c r="D548">
        <v>8</v>
      </c>
      <c r="E548">
        <v>2838</v>
      </c>
      <c r="F548">
        <v>2</v>
      </c>
      <c r="G548" t="s">
        <v>487</v>
      </c>
      <c r="H548">
        <f>TIMEVALUE(SUBSTITUTE(SUBSTITUTE(_5__DAILY_USAGE_TREND[[#This Row],[TOTAL_DURATION]],"hour",":"),"min",""))</f>
        <v>0.56111111111111112</v>
      </c>
    </row>
    <row r="549" spans="1:8" x14ac:dyDescent="0.3">
      <c r="A549" s="1">
        <v>45674</v>
      </c>
      <c r="B549">
        <v>6</v>
      </c>
      <c r="C549">
        <v>6</v>
      </c>
      <c r="D549">
        <v>20</v>
      </c>
      <c r="E549">
        <v>7984</v>
      </c>
      <c r="F549">
        <v>6</v>
      </c>
      <c r="G549" t="s">
        <v>488</v>
      </c>
      <c r="H549">
        <f>TIMEVALUE(SUBSTITUTE(SUBSTITUTE(_5__DAILY_USAGE_TREND[[#This Row],[TOTAL_DURATION]],"hour",":"),"min",""))</f>
        <v>0.33611111111111114</v>
      </c>
    </row>
    <row r="550" spans="1:8" x14ac:dyDescent="0.3">
      <c r="A550" s="1">
        <v>45675</v>
      </c>
      <c r="B550">
        <v>8</v>
      </c>
      <c r="C550">
        <v>6</v>
      </c>
      <c r="D550">
        <v>13</v>
      </c>
      <c r="E550">
        <v>4481</v>
      </c>
      <c r="F550">
        <v>8</v>
      </c>
      <c r="G550" t="s">
        <v>489</v>
      </c>
      <c r="H550">
        <f>TIMEVALUE(SUBSTITUTE(SUBSTITUTE(_5__DAILY_USAGE_TREND[[#This Row],[TOTAL_DURATION]],"hour",":"),"min",""))</f>
        <v>0.35833333333333339</v>
      </c>
    </row>
    <row r="551" spans="1:8" x14ac:dyDescent="0.3">
      <c r="A551" s="1">
        <v>45676</v>
      </c>
      <c r="B551">
        <v>4</v>
      </c>
      <c r="C551">
        <v>4</v>
      </c>
      <c r="D551">
        <v>6</v>
      </c>
      <c r="E551">
        <v>2168</v>
      </c>
      <c r="F551">
        <v>4</v>
      </c>
      <c r="G551" t="s">
        <v>490</v>
      </c>
      <c r="H551">
        <f>TIMEVALUE(SUBSTITUTE(SUBSTITUTE(_5__DAILY_USAGE_TREND[[#This Row],[TOTAL_DURATION]],"hour",":"),"min",""))</f>
        <v>0.21249999999999999</v>
      </c>
    </row>
    <row r="552" spans="1:8" x14ac:dyDescent="0.3">
      <c r="A552" s="1">
        <v>45677</v>
      </c>
      <c r="B552">
        <v>5</v>
      </c>
      <c r="C552">
        <v>4</v>
      </c>
      <c r="D552">
        <v>11</v>
      </c>
      <c r="E552">
        <v>5452</v>
      </c>
      <c r="F552">
        <v>5</v>
      </c>
      <c r="G552" t="s">
        <v>491</v>
      </c>
      <c r="H552">
        <f>TIMEVALUE(SUBSTITUTE(SUBSTITUTE(_5__DAILY_USAGE_TREND[[#This Row],[TOTAL_DURATION]],"hour",":"),"min",""))</f>
        <v>0.66805555555555551</v>
      </c>
    </row>
    <row r="553" spans="1:8" x14ac:dyDescent="0.3">
      <c r="A553" s="1">
        <v>45678</v>
      </c>
      <c r="B553">
        <v>4</v>
      </c>
      <c r="C553">
        <v>3</v>
      </c>
      <c r="D553">
        <v>10</v>
      </c>
      <c r="E553">
        <v>3125</v>
      </c>
      <c r="F553">
        <v>4</v>
      </c>
      <c r="G553" t="s">
        <v>492</v>
      </c>
      <c r="H553">
        <f>TIMEVALUE(SUBSTITUTE(SUBSTITUTE(_5__DAILY_USAGE_TREND[[#This Row],[TOTAL_DURATION]],"hour",":"),"min",""))</f>
        <v>0.4375</v>
      </c>
    </row>
    <row r="554" spans="1:8" x14ac:dyDescent="0.3">
      <c r="A554" s="1">
        <v>45679</v>
      </c>
      <c r="B554">
        <v>1</v>
      </c>
      <c r="C554">
        <v>1</v>
      </c>
      <c r="D554">
        <v>2</v>
      </c>
      <c r="E554">
        <v>824</v>
      </c>
      <c r="F554">
        <v>1</v>
      </c>
      <c r="G554" t="s">
        <v>493</v>
      </c>
      <c r="H554">
        <f>TIMEVALUE(SUBSTITUTE(SUBSTITUTE(_5__DAILY_USAGE_TREND[[#This Row],[TOTAL_DURATION]],"hour",":"),"min",""))</f>
        <v>0.12638888888888888</v>
      </c>
    </row>
    <row r="555" spans="1:8" x14ac:dyDescent="0.3">
      <c r="A555" s="1">
        <v>45680</v>
      </c>
      <c r="B555">
        <v>1</v>
      </c>
      <c r="C555">
        <v>1</v>
      </c>
      <c r="D555">
        <v>2</v>
      </c>
      <c r="E555">
        <v>1020</v>
      </c>
      <c r="F555">
        <v>1</v>
      </c>
      <c r="G555" t="s">
        <v>129</v>
      </c>
      <c r="H555">
        <f>TIMEVALUE(SUBSTITUTE(SUBSTITUTE(_5__DAILY_USAGE_TREND[[#This Row],[TOTAL_DURATION]],"hour",":"),"min",""))</f>
        <v>4.1666666666666664E-2</v>
      </c>
    </row>
    <row r="556" spans="1:8" x14ac:dyDescent="0.3">
      <c r="A556" s="1">
        <v>45681</v>
      </c>
      <c r="B556">
        <v>4</v>
      </c>
      <c r="C556">
        <v>4</v>
      </c>
      <c r="D556">
        <v>11</v>
      </c>
      <c r="E556">
        <v>4239</v>
      </c>
      <c r="F556">
        <v>4</v>
      </c>
      <c r="G556" t="s">
        <v>494</v>
      </c>
      <c r="H556">
        <f>TIMEVALUE(SUBSTITUTE(SUBSTITUTE(_5__DAILY_USAGE_TREND[[#This Row],[TOTAL_DURATION]],"hour",":"),"min",""))</f>
        <v>0.67500000000000004</v>
      </c>
    </row>
    <row r="557" spans="1:8" x14ac:dyDescent="0.3">
      <c r="A557" s="1">
        <v>45682</v>
      </c>
      <c r="B557">
        <v>3</v>
      </c>
      <c r="C557">
        <v>3</v>
      </c>
      <c r="D557">
        <v>9</v>
      </c>
      <c r="E557">
        <v>3173</v>
      </c>
      <c r="F557">
        <v>3</v>
      </c>
      <c r="G557" t="s">
        <v>495</v>
      </c>
      <c r="H557">
        <f>TIMEVALUE(SUBSTITUTE(SUBSTITUTE(_5__DAILY_USAGE_TREND[[#This Row],[TOTAL_DURATION]],"hour",":"),"min",""))</f>
        <v>0.27152777777777776</v>
      </c>
    </row>
    <row r="558" spans="1:8" x14ac:dyDescent="0.3">
      <c r="A558" s="1">
        <v>45683</v>
      </c>
      <c r="B558">
        <v>8</v>
      </c>
      <c r="C558">
        <v>5</v>
      </c>
      <c r="D558">
        <v>16</v>
      </c>
      <c r="E558">
        <v>5440</v>
      </c>
      <c r="F558">
        <v>8</v>
      </c>
      <c r="G558" t="s">
        <v>373</v>
      </c>
      <c r="H558">
        <f>TIMEVALUE(SUBSTITUTE(SUBSTITUTE(_5__DAILY_USAGE_TREND[[#This Row],[TOTAL_DURATION]],"hour",":"),"min",""))</f>
        <v>0.98472222222222228</v>
      </c>
    </row>
    <row r="559" spans="1:8" x14ac:dyDescent="0.3">
      <c r="A559" s="1">
        <v>45684</v>
      </c>
      <c r="B559">
        <v>3</v>
      </c>
      <c r="C559">
        <v>2</v>
      </c>
      <c r="D559">
        <v>7</v>
      </c>
      <c r="E559">
        <v>2606</v>
      </c>
      <c r="F559">
        <v>3</v>
      </c>
      <c r="G559" t="s">
        <v>496</v>
      </c>
      <c r="H559">
        <f>TIMEVALUE(SUBSTITUTE(SUBSTITUTE(_5__DAILY_USAGE_TREND[[#This Row],[TOTAL_DURATION]],"hour",":"),"min",""))</f>
        <v>0.25208333333333333</v>
      </c>
    </row>
    <row r="560" spans="1:8" x14ac:dyDescent="0.3">
      <c r="A560" s="1">
        <v>45685</v>
      </c>
      <c r="B560">
        <v>4</v>
      </c>
      <c r="C560">
        <v>3</v>
      </c>
      <c r="D560">
        <v>8</v>
      </c>
      <c r="E560">
        <v>3501</v>
      </c>
      <c r="F560">
        <v>4</v>
      </c>
      <c r="G560" t="s">
        <v>497</v>
      </c>
      <c r="H560">
        <f>TIMEVALUE(SUBSTITUTE(SUBSTITUTE(_5__DAILY_USAGE_TREND[[#This Row],[TOTAL_DURATION]],"hour",":"),"min",""))</f>
        <v>0.30555555555555558</v>
      </c>
    </row>
    <row r="561" spans="1:8" x14ac:dyDescent="0.3">
      <c r="A561" s="1">
        <v>45686</v>
      </c>
      <c r="B561">
        <v>3</v>
      </c>
      <c r="C561">
        <v>3</v>
      </c>
      <c r="D561">
        <v>6</v>
      </c>
      <c r="E561">
        <v>1783</v>
      </c>
      <c r="F561">
        <v>3</v>
      </c>
      <c r="G561" t="s">
        <v>418</v>
      </c>
      <c r="H561">
        <f>TIMEVALUE(SUBSTITUTE(SUBSTITUTE(_5__DAILY_USAGE_TREND[[#This Row],[TOTAL_DURATION]],"hour",":"),"min",""))</f>
        <v>0.15763888888888888</v>
      </c>
    </row>
    <row r="562" spans="1:8" x14ac:dyDescent="0.3">
      <c r="A562" s="1">
        <v>45687</v>
      </c>
      <c r="B562">
        <v>6</v>
      </c>
      <c r="C562">
        <v>4</v>
      </c>
      <c r="D562">
        <v>14</v>
      </c>
      <c r="E562">
        <v>4919</v>
      </c>
      <c r="F562">
        <v>6</v>
      </c>
      <c r="G562" t="s">
        <v>498</v>
      </c>
      <c r="H562">
        <f>TIMEVALUE(SUBSTITUTE(SUBSTITUTE(_5__DAILY_USAGE_TREND[[#This Row],[TOTAL_DURATION]],"hour",":"),"min",""))</f>
        <v>0.44444444444444464</v>
      </c>
    </row>
    <row r="563" spans="1:8" x14ac:dyDescent="0.3">
      <c r="A563" s="1">
        <v>45688</v>
      </c>
      <c r="B563">
        <v>5</v>
      </c>
      <c r="C563">
        <v>5</v>
      </c>
      <c r="D563">
        <v>13</v>
      </c>
      <c r="E563">
        <v>4866</v>
      </c>
      <c r="F563">
        <v>5</v>
      </c>
      <c r="G563" t="s">
        <v>499</v>
      </c>
      <c r="H563">
        <f>TIMEVALUE(SUBSTITUTE(SUBSTITUTE(_5__DAILY_USAGE_TREND[[#This Row],[TOTAL_DURATION]],"hour",":"),"min",""))</f>
        <v>0.59513888888888888</v>
      </c>
    </row>
    <row r="564" spans="1:8" x14ac:dyDescent="0.3">
      <c r="A564" s="1">
        <v>45689</v>
      </c>
      <c r="B564">
        <v>6</v>
      </c>
      <c r="C564">
        <v>6</v>
      </c>
      <c r="D564">
        <v>14</v>
      </c>
      <c r="E564">
        <v>5626</v>
      </c>
      <c r="F564">
        <v>6</v>
      </c>
      <c r="G564" t="s">
        <v>500</v>
      </c>
      <c r="H564">
        <f>TIMEVALUE(SUBSTITUTE(SUBSTITUTE(_5__DAILY_USAGE_TREND[[#This Row],[TOTAL_DURATION]],"hour",":"),"min",""))</f>
        <v>0.35694444444444445</v>
      </c>
    </row>
    <row r="565" spans="1:8" x14ac:dyDescent="0.3">
      <c r="A565" s="1">
        <v>45690</v>
      </c>
      <c r="B565">
        <v>6</v>
      </c>
      <c r="C565">
        <v>6</v>
      </c>
      <c r="D565">
        <v>15</v>
      </c>
      <c r="E565">
        <v>5868</v>
      </c>
      <c r="F565">
        <v>6</v>
      </c>
      <c r="G565" t="s">
        <v>290</v>
      </c>
      <c r="H565">
        <f>TIMEVALUE(SUBSTITUTE(SUBSTITUTE(_5__DAILY_USAGE_TREND[[#This Row],[TOTAL_DURATION]],"hour",":"),"min",""))</f>
        <v>0.43263888888888891</v>
      </c>
    </row>
    <row r="566" spans="1:8" x14ac:dyDescent="0.3">
      <c r="A566" s="1">
        <v>45691</v>
      </c>
      <c r="B566">
        <v>6</v>
      </c>
      <c r="C566">
        <v>4</v>
      </c>
      <c r="D566">
        <v>13</v>
      </c>
      <c r="E566">
        <v>3557</v>
      </c>
      <c r="F566">
        <v>6</v>
      </c>
      <c r="G566" t="s">
        <v>501</v>
      </c>
      <c r="H566">
        <f>TIMEVALUE(SUBSTITUTE(SUBSTITUTE(_5__DAILY_USAGE_TREND[[#This Row],[TOTAL_DURATION]],"hour",":"),"min",""))</f>
        <v>9.7222222222221877E-3</v>
      </c>
    </row>
    <row r="567" spans="1:8" x14ac:dyDescent="0.3">
      <c r="A567" s="1">
        <v>45692</v>
      </c>
      <c r="B567">
        <v>7</v>
      </c>
      <c r="C567">
        <v>5</v>
      </c>
      <c r="D567">
        <v>14</v>
      </c>
      <c r="E567">
        <v>5366</v>
      </c>
      <c r="F567">
        <v>7</v>
      </c>
      <c r="G567" t="s">
        <v>502</v>
      </c>
      <c r="H567">
        <f>TIMEVALUE(SUBSTITUTE(SUBSTITUTE(_5__DAILY_USAGE_TREND[[#This Row],[TOTAL_DURATION]],"hour",":"),"min",""))</f>
        <v>0.53680555555555554</v>
      </c>
    </row>
    <row r="568" spans="1:8" x14ac:dyDescent="0.3">
      <c r="A568" s="1">
        <v>45693</v>
      </c>
      <c r="B568">
        <v>6</v>
      </c>
      <c r="C568">
        <v>5</v>
      </c>
      <c r="D568">
        <v>14</v>
      </c>
      <c r="E568">
        <v>4982</v>
      </c>
      <c r="F568">
        <v>6</v>
      </c>
      <c r="G568" t="s">
        <v>418</v>
      </c>
      <c r="H568">
        <f>TIMEVALUE(SUBSTITUTE(SUBSTITUTE(_5__DAILY_USAGE_TREND[[#This Row],[TOTAL_DURATION]],"hour",":"),"min",""))</f>
        <v>0.15763888888888888</v>
      </c>
    </row>
    <row r="569" spans="1:8" x14ac:dyDescent="0.3">
      <c r="A569" s="1">
        <v>45694</v>
      </c>
      <c r="B569">
        <v>4</v>
      </c>
      <c r="C569">
        <v>3</v>
      </c>
      <c r="D569">
        <v>7</v>
      </c>
      <c r="E569">
        <v>1930</v>
      </c>
      <c r="F569">
        <v>4</v>
      </c>
      <c r="G569" t="s">
        <v>333</v>
      </c>
      <c r="H569">
        <f>TIMEVALUE(SUBSTITUTE(SUBSTITUTE(_5__DAILY_USAGE_TREND[[#This Row],[TOTAL_DURATION]],"hour",":"),"min",""))</f>
        <v>0.26041666666666669</v>
      </c>
    </row>
    <row r="570" spans="1:8" x14ac:dyDescent="0.3">
      <c r="A570" s="1">
        <v>45695</v>
      </c>
      <c r="B570">
        <v>3</v>
      </c>
      <c r="C570">
        <v>3</v>
      </c>
      <c r="D570">
        <v>8</v>
      </c>
      <c r="E570">
        <v>1541</v>
      </c>
      <c r="F570">
        <v>3</v>
      </c>
      <c r="G570" t="s">
        <v>503</v>
      </c>
      <c r="H570">
        <f>TIMEVALUE(SUBSTITUTE(SUBSTITUTE(_5__DAILY_USAGE_TREND[[#This Row],[TOTAL_DURATION]],"hour",":"),"min",""))</f>
        <v>0.28611111111111109</v>
      </c>
    </row>
    <row r="571" spans="1:8" x14ac:dyDescent="0.3">
      <c r="A571" s="1">
        <v>45696</v>
      </c>
      <c r="B571">
        <v>4</v>
      </c>
      <c r="C571">
        <v>3</v>
      </c>
      <c r="D571">
        <v>12</v>
      </c>
      <c r="E571">
        <v>4454</v>
      </c>
      <c r="F571">
        <v>4</v>
      </c>
      <c r="G571" t="s">
        <v>504</v>
      </c>
      <c r="H571">
        <f>TIMEVALUE(SUBSTITUTE(SUBSTITUTE(_5__DAILY_USAGE_TREND[[#This Row],[TOTAL_DURATION]],"hour",":"),"min",""))</f>
        <v>0.56874999999999998</v>
      </c>
    </row>
    <row r="572" spans="1:8" x14ac:dyDescent="0.3">
      <c r="A572" s="1">
        <v>45697</v>
      </c>
      <c r="B572">
        <v>8</v>
      </c>
      <c r="C572">
        <v>6</v>
      </c>
      <c r="D572">
        <v>22</v>
      </c>
      <c r="E572">
        <v>7998</v>
      </c>
      <c r="F572">
        <v>8</v>
      </c>
      <c r="G572" t="s">
        <v>505</v>
      </c>
      <c r="H572">
        <f>TIMEVALUE(SUBSTITUTE(SUBSTITUTE(_5__DAILY_USAGE_TREND[[#This Row],[TOTAL_DURATION]],"hour",":"),"min",""))</f>
        <v>0.2236111111111112</v>
      </c>
    </row>
    <row r="573" spans="1:8" x14ac:dyDescent="0.3">
      <c r="A573" s="1">
        <v>45698</v>
      </c>
      <c r="B573">
        <v>6</v>
      </c>
      <c r="C573">
        <v>4</v>
      </c>
      <c r="D573">
        <v>11</v>
      </c>
      <c r="E573">
        <v>4320</v>
      </c>
      <c r="F573">
        <v>6</v>
      </c>
      <c r="G573" t="s">
        <v>340</v>
      </c>
      <c r="H573">
        <f>TIMEVALUE(SUBSTITUTE(SUBSTITUTE(_5__DAILY_USAGE_TREND[[#This Row],[TOTAL_DURATION]],"hour",":"),"min",""))</f>
        <v>0.31180555555555556</v>
      </c>
    </row>
    <row r="574" spans="1:8" x14ac:dyDescent="0.3">
      <c r="A574" s="1">
        <v>45699</v>
      </c>
      <c r="B574">
        <v>5</v>
      </c>
      <c r="C574">
        <v>5</v>
      </c>
      <c r="D574">
        <v>13</v>
      </c>
      <c r="E574">
        <v>5052</v>
      </c>
      <c r="F574">
        <v>5</v>
      </c>
      <c r="G574" t="s">
        <v>506</v>
      </c>
      <c r="H574">
        <f>TIMEVALUE(SUBSTITUTE(SUBSTITUTE(_5__DAILY_USAGE_TREND[[#This Row],[TOTAL_DURATION]],"hour",":"),"min",""))</f>
        <v>0.77500000000000002</v>
      </c>
    </row>
    <row r="575" spans="1:8" x14ac:dyDescent="0.3">
      <c r="A575" s="1">
        <v>45700</v>
      </c>
      <c r="B575">
        <v>5</v>
      </c>
      <c r="C575">
        <v>4</v>
      </c>
      <c r="D575">
        <v>10</v>
      </c>
      <c r="E575">
        <v>3409</v>
      </c>
      <c r="F575">
        <v>5</v>
      </c>
      <c r="G575" t="s">
        <v>107</v>
      </c>
      <c r="H575">
        <f>TIMEVALUE(SUBSTITUTE(SUBSTITUTE(_5__DAILY_USAGE_TREND[[#This Row],[TOTAL_DURATION]],"hour",":"),"min",""))</f>
        <v>0.29236111111111113</v>
      </c>
    </row>
    <row r="576" spans="1:8" x14ac:dyDescent="0.3">
      <c r="A576" s="1">
        <v>45701</v>
      </c>
      <c r="B576">
        <v>1</v>
      </c>
      <c r="C576">
        <v>1</v>
      </c>
      <c r="D576">
        <v>1</v>
      </c>
      <c r="E576">
        <v>422</v>
      </c>
      <c r="F576">
        <v>1</v>
      </c>
      <c r="G576" t="s">
        <v>95</v>
      </c>
      <c r="H576">
        <f>TIMEVALUE(SUBSTITUTE(SUBSTITUTE(_5__DAILY_USAGE_TREND[[#This Row],[TOTAL_DURATION]],"hour",":"),"min",""))</f>
        <v>2.9861111111111113E-2</v>
      </c>
    </row>
    <row r="577" spans="1:8" x14ac:dyDescent="0.3">
      <c r="A577" s="1">
        <v>45702</v>
      </c>
      <c r="B577">
        <v>7</v>
      </c>
      <c r="C577">
        <v>5</v>
      </c>
      <c r="D577">
        <v>13</v>
      </c>
      <c r="E577">
        <v>6390</v>
      </c>
      <c r="F577">
        <v>7</v>
      </c>
      <c r="G577" t="s">
        <v>507</v>
      </c>
      <c r="H577">
        <f>TIMEVALUE(SUBSTITUTE(SUBSTITUTE(_5__DAILY_USAGE_TREND[[#This Row],[TOTAL_DURATION]],"hour",":"),"min",""))</f>
        <v>0.58194444444444449</v>
      </c>
    </row>
    <row r="578" spans="1:8" x14ac:dyDescent="0.3">
      <c r="A578" s="1">
        <v>45703</v>
      </c>
      <c r="B578">
        <v>3</v>
      </c>
      <c r="C578">
        <v>3</v>
      </c>
      <c r="D578">
        <v>8</v>
      </c>
      <c r="E578">
        <v>2144</v>
      </c>
      <c r="F578">
        <v>3</v>
      </c>
      <c r="G578" t="s">
        <v>508</v>
      </c>
      <c r="H578">
        <f>TIMEVALUE(SUBSTITUTE(SUBSTITUTE(_5__DAILY_USAGE_TREND[[#This Row],[TOTAL_DURATION]],"hour",":"),"min",""))</f>
        <v>0.28055555555555556</v>
      </c>
    </row>
    <row r="579" spans="1:8" x14ac:dyDescent="0.3">
      <c r="A579" s="1">
        <v>45704</v>
      </c>
      <c r="B579">
        <v>4</v>
      </c>
      <c r="C579">
        <v>4</v>
      </c>
      <c r="D579">
        <v>11</v>
      </c>
      <c r="E579">
        <v>3801</v>
      </c>
      <c r="F579">
        <v>4</v>
      </c>
      <c r="G579" t="s">
        <v>509</v>
      </c>
      <c r="H579">
        <f>TIMEVALUE(SUBSTITUTE(SUBSTITUTE(_5__DAILY_USAGE_TREND[[#This Row],[TOTAL_DURATION]],"hour",":"),"min",""))</f>
        <v>0.61250000000000004</v>
      </c>
    </row>
    <row r="580" spans="1:8" x14ac:dyDescent="0.3">
      <c r="A580" s="1">
        <v>45705</v>
      </c>
      <c r="B580">
        <v>5</v>
      </c>
      <c r="C580">
        <v>4</v>
      </c>
      <c r="D580">
        <v>12</v>
      </c>
      <c r="E580">
        <v>4641</v>
      </c>
      <c r="F580">
        <v>5</v>
      </c>
      <c r="G580" t="s">
        <v>510</v>
      </c>
      <c r="H580">
        <f>TIMEVALUE(SUBSTITUTE(SUBSTITUTE(_5__DAILY_USAGE_TREND[[#This Row],[TOTAL_DURATION]],"hour",":"),"min",""))</f>
        <v>0.38333333333333336</v>
      </c>
    </row>
    <row r="581" spans="1:8" x14ac:dyDescent="0.3">
      <c r="A581" s="1">
        <v>45706</v>
      </c>
      <c r="B581">
        <v>4</v>
      </c>
      <c r="C581">
        <v>4</v>
      </c>
      <c r="D581">
        <v>9</v>
      </c>
      <c r="E581">
        <v>4390</v>
      </c>
      <c r="F581">
        <v>4</v>
      </c>
      <c r="G581" t="s">
        <v>511</v>
      </c>
      <c r="H581">
        <f>TIMEVALUE(SUBSTITUTE(SUBSTITUTE(_5__DAILY_USAGE_TREND[[#This Row],[TOTAL_DURATION]],"hour",":"),"min",""))</f>
        <v>0.22222222222222221</v>
      </c>
    </row>
    <row r="582" spans="1:8" x14ac:dyDescent="0.3">
      <c r="A582" s="1">
        <v>45707</v>
      </c>
      <c r="B582">
        <v>4</v>
      </c>
      <c r="C582">
        <v>4</v>
      </c>
      <c r="D582">
        <v>11</v>
      </c>
      <c r="E582">
        <v>4217</v>
      </c>
      <c r="F582">
        <v>4</v>
      </c>
      <c r="G582" t="s">
        <v>512</v>
      </c>
      <c r="H582">
        <f>TIMEVALUE(SUBSTITUTE(SUBSTITUTE(_5__DAILY_USAGE_TREND[[#This Row],[TOTAL_DURATION]],"hour",":"),"min",""))</f>
        <v>0.55972222222222223</v>
      </c>
    </row>
    <row r="583" spans="1:8" x14ac:dyDescent="0.3">
      <c r="A583" s="1">
        <v>45708</v>
      </c>
      <c r="B583">
        <v>5</v>
      </c>
      <c r="C583">
        <v>3</v>
      </c>
      <c r="D583">
        <v>10</v>
      </c>
      <c r="E583">
        <v>3571</v>
      </c>
      <c r="F583">
        <v>5</v>
      </c>
      <c r="G583" t="s">
        <v>513</v>
      </c>
      <c r="H583">
        <f>TIMEVALUE(SUBSTITUTE(SUBSTITUTE(_5__DAILY_USAGE_TREND[[#This Row],[TOTAL_DURATION]],"hour",":"),"min",""))</f>
        <v>0.37777777777777777</v>
      </c>
    </row>
    <row r="584" spans="1:8" x14ac:dyDescent="0.3">
      <c r="A584" s="1">
        <v>45709</v>
      </c>
      <c r="B584">
        <v>2</v>
      </c>
      <c r="C584">
        <v>2</v>
      </c>
      <c r="D584">
        <v>6</v>
      </c>
      <c r="E584">
        <v>2472</v>
      </c>
      <c r="F584">
        <v>2</v>
      </c>
      <c r="G584" t="s">
        <v>514</v>
      </c>
      <c r="H584">
        <f>TIMEVALUE(SUBSTITUTE(SUBSTITUTE(_5__DAILY_USAGE_TREND[[#This Row],[TOTAL_DURATION]],"hour",":"),"min",""))</f>
        <v>4.3055555555555625E-2</v>
      </c>
    </row>
    <row r="585" spans="1:8" x14ac:dyDescent="0.3">
      <c r="A585" s="1">
        <v>45710</v>
      </c>
      <c r="B585">
        <v>6</v>
      </c>
      <c r="C585">
        <v>4</v>
      </c>
      <c r="D585">
        <v>15</v>
      </c>
      <c r="E585">
        <v>6554</v>
      </c>
      <c r="F585">
        <v>6</v>
      </c>
      <c r="G585" t="s">
        <v>515</v>
      </c>
      <c r="H585">
        <f>TIMEVALUE(SUBSTITUTE(SUBSTITUTE(_5__DAILY_USAGE_TREND[[#This Row],[TOTAL_DURATION]],"hour",":"),"min",""))</f>
        <v>0.70833333333333326</v>
      </c>
    </row>
    <row r="586" spans="1:8" x14ac:dyDescent="0.3">
      <c r="A586" s="1">
        <v>45711</v>
      </c>
      <c r="B586">
        <v>7</v>
      </c>
      <c r="C586">
        <v>5</v>
      </c>
      <c r="D586">
        <v>16</v>
      </c>
      <c r="E586">
        <v>6434</v>
      </c>
      <c r="F586">
        <v>7</v>
      </c>
      <c r="G586" t="s">
        <v>516</v>
      </c>
      <c r="H586">
        <f>TIMEVALUE(SUBSTITUTE(SUBSTITUTE(_5__DAILY_USAGE_TREND[[#This Row],[TOTAL_DURATION]],"hour",":"),"min",""))</f>
        <v>0.55277777777777781</v>
      </c>
    </row>
    <row r="587" spans="1:8" x14ac:dyDescent="0.3">
      <c r="A587" s="1">
        <v>45712</v>
      </c>
      <c r="B587">
        <v>4</v>
      </c>
      <c r="C587">
        <v>4</v>
      </c>
      <c r="D587">
        <v>5</v>
      </c>
      <c r="E587">
        <v>1605</v>
      </c>
      <c r="F587">
        <v>4</v>
      </c>
      <c r="G587" t="s">
        <v>511</v>
      </c>
      <c r="H587">
        <f>TIMEVALUE(SUBSTITUTE(SUBSTITUTE(_5__DAILY_USAGE_TREND[[#This Row],[TOTAL_DURATION]],"hour",":"),"min",""))</f>
        <v>0.22222222222222221</v>
      </c>
    </row>
    <row r="588" spans="1:8" x14ac:dyDescent="0.3">
      <c r="A588" s="1">
        <v>45713</v>
      </c>
      <c r="B588">
        <v>4</v>
      </c>
      <c r="C588">
        <v>3</v>
      </c>
      <c r="D588">
        <v>8</v>
      </c>
      <c r="E588">
        <v>2564</v>
      </c>
      <c r="F588">
        <v>4</v>
      </c>
      <c r="G588" t="s">
        <v>299</v>
      </c>
      <c r="H588">
        <f>TIMEVALUE(SUBSTITUTE(SUBSTITUTE(_5__DAILY_USAGE_TREND[[#This Row],[TOTAL_DURATION]],"hour",":"),"min",""))</f>
        <v>0.28263888888888888</v>
      </c>
    </row>
    <row r="589" spans="1:8" x14ac:dyDescent="0.3">
      <c r="A589" s="1">
        <v>45714</v>
      </c>
      <c r="B589">
        <v>1</v>
      </c>
      <c r="C589">
        <v>1</v>
      </c>
      <c r="D589">
        <v>1</v>
      </c>
      <c r="E589">
        <v>614</v>
      </c>
      <c r="F589">
        <v>1</v>
      </c>
      <c r="G589" t="s">
        <v>60</v>
      </c>
      <c r="H589">
        <f>TIMEVALUE(SUBSTITUTE(SUBSTITUTE(_5__DAILY_USAGE_TREND[[#This Row],[TOTAL_DURATION]],"hour",":"),"min",""))</f>
        <v>6.8750000000000006E-2</v>
      </c>
    </row>
    <row r="590" spans="1:8" x14ac:dyDescent="0.3">
      <c r="A590" s="1">
        <v>45715</v>
      </c>
      <c r="B590">
        <v>6</v>
      </c>
      <c r="C590">
        <v>3</v>
      </c>
      <c r="D590">
        <v>13</v>
      </c>
      <c r="E590">
        <v>5522</v>
      </c>
      <c r="F590">
        <v>6</v>
      </c>
      <c r="G590" t="s">
        <v>517</v>
      </c>
      <c r="H590">
        <f>TIMEVALUE(SUBSTITUTE(SUBSTITUTE(_5__DAILY_USAGE_TREND[[#This Row],[TOTAL_DURATION]],"hour",":"),"min",""))</f>
        <v>0.64027777777777772</v>
      </c>
    </row>
    <row r="591" spans="1:8" x14ac:dyDescent="0.3">
      <c r="A591" s="1">
        <v>45716</v>
      </c>
      <c r="B591">
        <v>7</v>
      </c>
      <c r="C591">
        <v>6</v>
      </c>
      <c r="D591">
        <v>19</v>
      </c>
      <c r="E591">
        <v>5718</v>
      </c>
      <c r="F591">
        <v>7</v>
      </c>
      <c r="G591" t="s">
        <v>518</v>
      </c>
      <c r="H591">
        <f>TIMEVALUE(SUBSTITUTE(SUBSTITUTE(_5__DAILY_USAGE_TREND[[#This Row],[TOTAL_DURATION]],"hour",":"),"min",""))</f>
        <v>7.0138888888888973E-2</v>
      </c>
    </row>
    <row r="592" spans="1:8" x14ac:dyDescent="0.3">
      <c r="A592" s="1">
        <v>45717</v>
      </c>
      <c r="B592">
        <v>4</v>
      </c>
      <c r="C592">
        <v>3</v>
      </c>
      <c r="D592">
        <v>12</v>
      </c>
      <c r="E592">
        <v>4377</v>
      </c>
      <c r="F592">
        <v>4</v>
      </c>
      <c r="G592" t="s">
        <v>519</v>
      </c>
      <c r="H592">
        <f>TIMEVALUE(SUBSTITUTE(SUBSTITUTE(_5__DAILY_USAGE_TREND[[#This Row],[TOTAL_DURATION]],"hour",":"),"min",""))</f>
        <v>0.81944444444444442</v>
      </c>
    </row>
    <row r="593" spans="1:8" x14ac:dyDescent="0.3">
      <c r="A593" s="1">
        <v>45718</v>
      </c>
      <c r="B593">
        <v>2</v>
      </c>
      <c r="C593">
        <v>2</v>
      </c>
      <c r="D593">
        <v>7</v>
      </c>
      <c r="E593">
        <v>3548</v>
      </c>
      <c r="F593">
        <v>2</v>
      </c>
      <c r="G593" t="s">
        <v>240</v>
      </c>
      <c r="H593">
        <f>TIMEVALUE(SUBSTITUTE(SUBSTITUTE(_5__DAILY_USAGE_TREND[[#This Row],[TOTAL_DURATION]],"hour",":"),"min",""))</f>
        <v>0.19652777777777777</v>
      </c>
    </row>
    <row r="594" spans="1:8" x14ac:dyDescent="0.3">
      <c r="A594" s="1">
        <v>45719</v>
      </c>
      <c r="B594">
        <v>3</v>
      </c>
      <c r="C594">
        <v>3</v>
      </c>
      <c r="D594">
        <v>8</v>
      </c>
      <c r="E594">
        <v>3348</v>
      </c>
      <c r="F594">
        <v>3</v>
      </c>
      <c r="G594" t="s">
        <v>520</v>
      </c>
      <c r="H594">
        <f>TIMEVALUE(SUBSTITUTE(SUBSTITUTE(_5__DAILY_USAGE_TREND[[#This Row],[TOTAL_DURATION]],"hour",":"),"min",""))</f>
        <v>0.91805555555555551</v>
      </c>
    </row>
    <row r="595" spans="1:8" x14ac:dyDescent="0.3">
      <c r="A595" s="1">
        <v>45720</v>
      </c>
      <c r="B595">
        <v>4</v>
      </c>
      <c r="C595">
        <v>3</v>
      </c>
      <c r="D595">
        <v>11</v>
      </c>
      <c r="E595">
        <v>3600</v>
      </c>
      <c r="F595">
        <v>4</v>
      </c>
      <c r="G595" t="s">
        <v>521</v>
      </c>
      <c r="H595">
        <f>TIMEVALUE(SUBSTITUTE(SUBSTITUTE(_5__DAILY_USAGE_TREND[[#This Row],[TOTAL_DURATION]],"hour",":"),"min",""))</f>
        <v>0.30277777777777776</v>
      </c>
    </row>
    <row r="596" spans="1:8" x14ac:dyDescent="0.3">
      <c r="A596" s="1">
        <v>45721</v>
      </c>
      <c r="B596">
        <v>6</v>
      </c>
      <c r="C596">
        <v>5</v>
      </c>
      <c r="D596">
        <v>13</v>
      </c>
      <c r="E596">
        <v>4749</v>
      </c>
      <c r="F596">
        <v>6</v>
      </c>
      <c r="G596" t="s">
        <v>522</v>
      </c>
      <c r="H596">
        <f>TIMEVALUE(SUBSTITUTE(SUBSTITUTE(_5__DAILY_USAGE_TREND[[#This Row],[TOTAL_DURATION]],"hour",":"),"min",""))</f>
        <v>0.33125000000000004</v>
      </c>
    </row>
    <row r="597" spans="1:8" x14ac:dyDescent="0.3">
      <c r="A597" s="1">
        <v>45722</v>
      </c>
      <c r="B597">
        <v>2</v>
      </c>
      <c r="C597">
        <v>2</v>
      </c>
      <c r="D597">
        <v>5</v>
      </c>
      <c r="E597">
        <v>2327</v>
      </c>
      <c r="F597">
        <v>2</v>
      </c>
      <c r="G597" t="s">
        <v>435</v>
      </c>
      <c r="H597">
        <f>TIMEVALUE(SUBSTITUTE(SUBSTITUTE(_5__DAILY_USAGE_TREND[[#This Row],[TOTAL_DURATION]],"hour",":"),"min",""))</f>
        <v>0.22569444444444445</v>
      </c>
    </row>
    <row r="598" spans="1:8" x14ac:dyDescent="0.3">
      <c r="A598" s="1">
        <v>45723</v>
      </c>
      <c r="B598">
        <v>7</v>
      </c>
      <c r="C598">
        <v>4</v>
      </c>
      <c r="D598">
        <v>10</v>
      </c>
      <c r="E598">
        <v>4018</v>
      </c>
      <c r="F598">
        <v>7</v>
      </c>
      <c r="G598" t="s">
        <v>430</v>
      </c>
      <c r="H598">
        <f>TIMEVALUE(SUBSTITUTE(SUBSTITUTE(_5__DAILY_USAGE_TREND[[#This Row],[TOTAL_DURATION]],"hour",":"),"min",""))</f>
        <v>0.48402777777777778</v>
      </c>
    </row>
    <row r="599" spans="1:8" x14ac:dyDescent="0.3">
      <c r="A599" s="1">
        <v>45724</v>
      </c>
      <c r="B599">
        <v>5</v>
      </c>
      <c r="C599">
        <v>4</v>
      </c>
      <c r="D599">
        <v>13</v>
      </c>
      <c r="E599">
        <v>4180</v>
      </c>
      <c r="F599">
        <v>5</v>
      </c>
      <c r="G599" t="s">
        <v>523</v>
      </c>
      <c r="H599">
        <f>TIMEVALUE(SUBSTITUTE(SUBSTITUTE(_5__DAILY_USAGE_TREND[[#This Row],[TOTAL_DURATION]],"hour",":"),"min",""))</f>
        <v>0.39930555555555558</v>
      </c>
    </row>
    <row r="600" spans="1:8" x14ac:dyDescent="0.3">
      <c r="A600" s="1">
        <v>45725</v>
      </c>
      <c r="B600">
        <v>14</v>
      </c>
      <c r="C600">
        <v>7</v>
      </c>
      <c r="D600">
        <v>33</v>
      </c>
      <c r="E600">
        <v>10692</v>
      </c>
      <c r="F600">
        <v>14</v>
      </c>
      <c r="G600" t="s">
        <v>524</v>
      </c>
      <c r="H600">
        <f>TIMEVALUE(SUBSTITUTE(SUBSTITUTE(_5__DAILY_USAGE_TREND[[#This Row],[TOTAL_DURATION]],"hour",":"),"min",""))</f>
        <v>0.68124999999999991</v>
      </c>
    </row>
    <row r="601" spans="1:8" x14ac:dyDescent="0.3">
      <c r="A601" s="1">
        <v>45726</v>
      </c>
      <c r="B601">
        <v>3</v>
      </c>
      <c r="C601">
        <v>3</v>
      </c>
      <c r="D601">
        <v>8</v>
      </c>
      <c r="E601">
        <v>2503</v>
      </c>
      <c r="F601">
        <v>3</v>
      </c>
      <c r="G601" t="s">
        <v>372</v>
      </c>
      <c r="H601">
        <f>TIMEVALUE(SUBSTITUTE(SUBSTITUTE(_5__DAILY_USAGE_TREND[[#This Row],[TOTAL_DURATION]],"hour",":"),"min",""))</f>
        <v>0.19722222222222222</v>
      </c>
    </row>
    <row r="602" spans="1:8" x14ac:dyDescent="0.3">
      <c r="A602" s="1">
        <v>45727</v>
      </c>
      <c r="B602">
        <v>6</v>
      </c>
      <c r="C602">
        <v>6</v>
      </c>
      <c r="D602">
        <v>17</v>
      </c>
      <c r="E602">
        <v>6729</v>
      </c>
      <c r="F602">
        <v>6</v>
      </c>
      <c r="G602" t="s">
        <v>525</v>
      </c>
      <c r="H602">
        <f>TIMEVALUE(SUBSTITUTE(SUBSTITUTE(_5__DAILY_USAGE_TREND[[#This Row],[TOTAL_DURATION]],"hour",":"),"min",""))</f>
        <v>0.11458333333333326</v>
      </c>
    </row>
    <row r="603" spans="1:8" x14ac:dyDescent="0.3">
      <c r="A603" s="1">
        <v>45728</v>
      </c>
      <c r="B603">
        <v>5</v>
      </c>
      <c r="C603">
        <v>5</v>
      </c>
      <c r="D603">
        <v>9</v>
      </c>
      <c r="E603">
        <v>3803</v>
      </c>
      <c r="F603">
        <v>5</v>
      </c>
      <c r="G603" t="s">
        <v>374</v>
      </c>
      <c r="H603">
        <f>TIMEVALUE(SUBSTITUTE(SUBSTITUTE(_5__DAILY_USAGE_TREND[[#This Row],[TOTAL_DURATION]],"hour",":"),"min",""))</f>
        <v>0.25555555555555554</v>
      </c>
    </row>
    <row r="604" spans="1:8" x14ac:dyDescent="0.3">
      <c r="A604" s="1">
        <v>45729</v>
      </c>
      <c r="B604">
        <v>2</v>
      </c>
      <c r="C604">
        <v>2</v>
      </c>
      <c r="D604">
        <v>4</v>
      </c>
      <c r="E604">
        <v>1431</v>
      </c>
      <c r="F604">
        <v>2</v>
      </c>
      <c r="G604" t="s">
        <v>526</v>
      </c>
      <c r="H604">
        <f>TIMEVALUE(SUBSTITUTE(SUBSTITUTE(_5__DAILY_USAGE_TREND[[#This Row],[TOTAL_DURATION]],"hour",":"),"min",""))</f>
        <v>0.24652777777777779</v>
      </c>
    </row>
    <row r="605" spans="1:8" x14ac:dyDescent="0.3">
      <c r="A605" s="1">
        <v>45730</v>
      </c>
      <c r="B605">
        <v>6</v>
      </c>
      <c r="C605">
        <v>4</v>
      </c>
      <c r="D605">
        <v>16</v>
      </c>
      <c r="E605">
        <v>5352</v>
      </c>
      <c r="F605">
        <v>6</v>
      </c>
      <c r="G605" t="s">
        <v>527</v>
      </c>
      <c r="H605">
        <f>TIMEVALUE(SUBSTITUTE(SUBSTITUTE(_5__DAILY_USAGE_TREND[[#This Row],[TOTAL_DURATION]],"hour",":"),"min",""))</f>
        <v>0.56041666666666667</v>
      </c>
    </row>
    <row r="606" spans="1:8" x14ac:dyDescent="0.3">
      <c r="A606" s="1">
        <v>45731</v>
      </c>
      <c r="B606">
        <v>2</v>
      </c>
      <c r="C606">
        <v>2</v>
      </c>
      <c r="D606">
        <v>5</v>
      </c>
      <c r="E606">
        <v>2188</v>
      </c>
      <c r="F606">
        <v>2</v>
      </c>
      <c r="G606" t="s">
        <v>10</v>
      </c>
      <c r="H606">
        <f>TIMEVALUE(SUBSTITUTE(SUBSTITUTE(_5__DAILY_USAGE_TREND[[#This Row],[TOTAL_DURATION]],"hour",":"),"min",""))</f>
        <v>0.37361111111111112</v>
      </c>
    </row>
    <row r="607" spans="1:8" x14ac:dyDescent="0.3">
      <c r="A607" s="1">
        <v>45732</v>
      </c>
      <c r="B607">
        <v>5</v>
      </c>
      <c r="C607">
        <v>4</v>
      </c>
      <c r="D607">
        <v>9</v>
      </c>
      <c r="E607">
        <v>2899</v>
      </c>
      <c r="F607">
        <v>5</v>
      </c>
      <c r="G607" t="s">
        <v>528</v>
      </c>
      <c r="H607">
        <f>TIMEVALUE(SUBSTITUTE(SUBSTITUTE(_5__DAILY_USAGE_TREND[[#This Row],[TOTAL_DURATION]],"hour",":"),"min",""))</f>
        <v>0.93333333333333335</v>
      </c>
    </row>
    <row r="608" spans="1:8" x14ac:dyDescent="0.3">
      <c r="A608" s="1">
        <v>45733</v>
      </c>
      <c r="B608">
        <v>5</v>
      </c>
      <c r="C608">
        <v>5</v>
      </c>
      <c r="D608">
        <v>12</v>
      </c>
      <c r="E608">
        <v>3898</v>
      </c>
      <c r="F608">
        <v>5</v>
      </c>
      <c r="G608" t="s">
        <v>529</v>
      </c>
      <c r="H608">
        <f>TIMEVALUE(SUBSTITUTE(SUBSTITUTE(_5__DAILY_USAGE_TREND[[#This Row],[TOTAL_DURATION]],"hour",":"),"min",""))</f>
        <v>0.10833333333333339</v>
      </c>
    </row>
    <row r="609" spans="1:8" x14ac:dyDescent="0.3">
      <c r="A609" s="1">
        <v>45734</v>
      </c>
      <c r="B609">
        <v>7</v>
      </c>
      <c r="C609">
        <v>6</v>
      </c>
      <c r="D609">
        <v>10</v>
      </c>
      <c r="E609">
        <v>3293</v>
      </c>
      <c r="F609">
        <v>7</v>
      </c>
      <c r="G609" t="s">
        <v>503</v>
      </c>
      <c r="H609">
        <f>TIMEVALUE(SUBSTITUTE(SUBSTITUTE(_5__DAILY_USAGE_TREND[[#This Row],[TOTAL_DURATION]],"hour",":"),"min",""))</f>
        <v>0.28611111111111109</v>
      </c>
    </row>
    <row r="610" spans="1:8" x14ac:dyDescent="0.3">
      <c r="A610" s="1">
        <v>45735</v>
      </c>
      <c r="B610">
        <v>3</v>
      </c>
      <c r="C610">
        <v>3</v>
      </c>
      <c r="D610">
        <v>10</v>
      </c>
      <c r="E610">
        <v>3116</v>
      </c>
      <c r="F610">
        <v>3</v>
      </c>
      <c r="G610" t="s">
        <v>530</v>
      </c>
      <c r="H610">
        <f>TIMEVALUE(SUBSTITUTE(SUBSTITUTE(_5__DAILY_USAGE_TREND[[#This Row],[TOTAL_DURATION]],"hour",":"),"min",""))</f>
        <v>0.47499999999999998</v>
      </c>
    </row>
    <row r="611" spans="1:8" x14ac:dyDescent="0.3">
      <c r="A611" s="1">
        <v>45736</v>
      </c>
      <c r="B611">
        <v>6</v>
      </c>
      <c r="C611">
        <v>3</v>
      </c>
      <c r="D611">
        <v>12</v>
      </c>
      <c r="E611">
        <v>4136</v>
      </c>
      <c r="F611">
        <v>6</v>
      </c>
      <c r="G611" t="s">
        <v>531</v>
      </c>
      <c r="H611">
        <f>TIMEVALUE(SUBSTITUTE(SUBSTITUTE(_5__DAILY_USAGE_TREND[[#This Row],[TOTAL_DURATION]],"hour",":"),"min",""))</f>
        <v>0.80069444444444449</v>
      </c>
    </row>
    <row r="612" spans="1:8" x14ac:dyDescent="0.3">
      <c r="A612" s="1">
        <v>45737</v>
      </c>
      <c r="B612">
        <v>9</v>
      </c>
      <c r="C612">
        <v>7</v>
      </c>
      <c r="D612">
        <v>20</v>
      </c>
      <c r="E612">
        <v>6763</v>
      </c>
      <c r="F612">
        <v>9</v>
      </c>
      <c r="G612" t="s">
        <v>532</v>
      </c>
      <c r="H612">
        <f>TIMEVALUE(SUBSTITUTE(SUBSTITUTE(_5__DAILY_USAGE_TREND[[#This Row],[TOTAL_DURATION]],"hour",":"),"min",""))</f>
        <v>0.89930555555555558</v>
      </c>
    </row>
    <row r="613" spans="1:8" x14ac:dyDescent="0.3">
      <c r="A613" s="1">
        <v>45738</v>
      </c>
      <c r="B613">
        <v>5</v>
      </c>
      <c r="C613">
        <v>5</v>
      </c>
      <c r="D613">
        <v>13</v>
      </c>
      <c r="E613">
        <v>4805</v>
      </c>
      <c r="F613">
        <v>5</v>
      </c>
      <c r="G613" t="s">
        <v>315</v>
      </c>
      <c r="H613">
        <f>TIMEVALUE(SUBSTITUTE(SUBSTITUTE(_5__DAILY_USAGE_TREND[[#This Row],[TOTAL_DURATION]],"hour",":"),"min",""))</f>
        <v>0.2722222222222222</v>
      </c>
    </row>
    <row r="614" spans="1:8" x14ac:dyDescent="0.3">
      <c r="A614" s="1">
        <v>45739</v>
      </c>
      <c r="B614">
        <v>4</v>
      </c>
      <c r="C614">
        <v>4</v>
      </c>
      <c r="D614">
        <v>7</v>
      </c>
      <c r="E614">
        <v>2405</v>
      </c>
      <c r="F614">
        <v>4</v>
      </c>
      <c r="G614" t="s">
        <v>533</v>
      </c>
      <c r="H614">
        <f>TIMEVALUE(SUBSTITUTE(SUBSTITUTE(_5__DAILY_USAGE_TREND[[#This Row],[TOTAL_DURATION]],"hour",":"),"min",""))</f>
        <v>0.16458333333333333</v>
      </c>
    </row>
    <row r="615" spans="1:8" x14ac:dyDescent="0.3">
      <c r="A615" s="1">
        <v>45740</v>
      </c>
      <c r="B615">
        <v>5</v>
      </c>
      <c r="C615">
        <v>5</v>
      </c>
      <c r="D615">
        <v>14</v>
      </c>
      <c r="E615">
        <v>4855</v>
      </c>
      <c r="F615">
        <v>5</v>
      </c>
      <c r="G615" t="s">
        <v>103</v>
      </c>
      <c r="H615">
        <f>TIMEVALUE(SUBSTITUTE(SUBSTITUTE(_5__DAILY_USAGE_TREND[[#This Row],[TOTAL_DURATION]],"hour",":"),"min",""))</f>
        <v>0.50138888888888888</v>
      </c>
    </row>
    <row r="616" spans="1:8" x14ac:dyDescent="0.3">
      <c r="A616" s="1">
        <v>45741</v>
      </c>
      <c r="B616">
        <v>4</v>
      </c>
      <c r="C616">
        <v>4</v>
      </c>
      <c r="D616">
        <v>9</v>
      </c>
      <c r="E616">
        <v>2947</v>
      </c>
      <c r="F616">
        <v>4</v>
      </c>
      <c r="G616" t="s">
        <v>342</v>
      </c>
      <c r="H616">
        <f>TIMEVALUE(SUBSTITUTE(SUBSTITUTE(_5__DAILY_USAGE_TREND[[#This Row],[TOTAL_DURATION]],"hour",":"),"min",""))</f>
        <v>0.30208333333333331</v>
      </c>
    </row>
    <row r="617" spans="1:8" x14ac:dyDescent="0.3">
      <c r="A617" s="1">
        <v>45742</v>
      </c>
      <c r="B617">
        <v>4</v>
      </c>
      <c r="C617">
        <v>3</v>
      </c>
      <c r="D617">
        <v>11</v>
      </c>
      <c r="E617">
        <v>4040</v>
      </c>
      <c r="F617">
        <v>4</v>
      </c>
      <c r="G617" t="s">
        <v>534</v>
      </c>
      <c r="H617">
        <f>TIMEVALUE(SUBSTITUTE(SUBSTITUTE(_5__DAILY_USAGE_TREND[[#This Row],[TOTAL_DURATION]],"hour",":"),"min",""))</f>
        <v>0.44027777777777777</v>
      </c>
    </row>
    <row r="618" spans="1:8" x14ac:dyDescent="0.3">
      <c r="A618" s="1">
        <v>45743</v>
      </c>
      <c r="B618">
        <v>4</v>
      </c>
      <c r="C618">
        <v>4</v>
      </c>
      <c r="D618">
        <v>18</v>
      </c>
      <c r="E618">
        <v>5898</v>
      </c>
      <c r="F618">
        <v>5</v>
      </c>
      <c r="G618" t="s">
        <v>535</v>
      </c>
      <c r="H618">
        <f>TIMEVALUE(SUBSTITUTE(SUBSTITUTE(_5__DAILY_USAGE_TREND[[#This Row],[TOTAL_DURATION]],"hour",":"),"min",""))</f>
        <v>0.43819444444444444</v>
      </c>
    </row>
    <row r="619" spans="1:8" x14ac:dyDescent="0.3">
      <c r="A619" s="1">
        <v>45744</v>
      </c>
      <c r="B619">
        <v>2</v>
      </c>
      <c r="C619">
        <v>2</v>
      </c>
      <c r="D619">
        <v>7</v>
      </c>
      <c r="E619">
        <v>2610</v>
      </c>
      <c r="F619">
        <v>2</v>
      </c>
      <c r="G619" t="s">
        <v>536</v>
      </c>
      <c r="H619">
        <f>TIMEVALUE(SUBSTITUTE(SUBSTITUTE(_5__DAILY_USAGE_TREND[[#This Row],[TOTAL_DURATION]],"hour",":"),"min",""))</f>
        <v>0.3923611111111111</v>
      </c>
    </row>
    <row r="620" spans="1:8" x14ac:dyDescent="0.3">
      <c r="A620" s="1">
        <v>45745</v>
      </c>
      <c r="B620">
        <v>9</v>
      </c>
      <c r="C620">
        <v>6</v>
      </c>
      <c r="D620">
        <v>21</v>
      </c>
      <c r="E620">
        <v>8112</v>
      </c>
      <c r="F620">
        <v>9</v>
      </c>
      <c r="G620" t="s">
        <v>537</v>
      </c>
      <c r="H620">
        <f>TIMEVALUE(SUBSTITUTE(SUBSTITUTE(_5__DAILY_USAGE_TREND[[#This Row],[TOTAL_DURATION]],"hour",":"),"min",""))</f>
        <v>0.94027777777777777</v>
      </c>
    </row>
    <row r="621" spans="1:8" x14ac:dyDescent="0.3">
      <c r="A621" s="1">
        <v>45746</v>
      </c>
      <c r="B621">
        <v>4</v>
      </c>
      <c r="C621">
        <v>3</v>
      </c>
      <c r="D621">
        <v>7</v>
      </c>
      <c r="E621">
        <v>2088</v>
      </c>
      <c r="F621">
        <v>4</v>
      </c>
      <c r="G621" t="s">
        <v>104</v>
      </c>
      <c r="H621">
        <f>TIMEVALUE(SUBSTITUTE(SUBSTITUTE(_5__DAILY_USAGE_TREND[[#This Row],[TOTAL_DURATION]],"hour",":"),"min",""))</f>
        <v>0.15416666666666667</v>
      </c>
    </row>
    <row r="622" spans="1:8" x14ac:dyDescent="0.3">
      <c r="A622" s="1">
        <v>45747</v>
      </c>
      <c r="B622">
        <v>8</v>
      </c>
      <c r="C622">
        <v>7</v>
      </c>
      <c r="D622">
        <v>16</v>
      </c>
      <c r="E622">
        <v>4991</v>
      </c>
      <c r="F622">
        <v>8</v>
      </c>
      <c r="G622" t="s">
        <v>538</v>
      </c>
      <c r="H622">
        <f>TIMEVALUE(SUBSTITUTE(SUBSTITUTE(_5__DAILY_USAGE_TREND[[#This Row],[TOTAL_DURATION]],"hour",":"),"min",""))</f>
        <v>0.61736111111111114</v>
      </c>
    </row>
    <row r="623" spans="1:8" x14ac:dyDescent="0.3">
      <c r="A623" s="1">
        <v>45748</v>
      </c>
      <c r="B623">
        <v>10</v>
      </c>
      <c r="C623">
        <v>7</v>
      </c>
      <c r="D623">
        <v>30</v>
      </c>
      <c r="E623">
        <v>11863</v>
      </c>
      <c r="F623">
        <v>10</v>
      </c>
      <c r="G623" t="s">
        <v>539</v>
      </c>
      <c r="H623">
        <f>TIMEVALUE(SUBSTITUTE(SUBSTITUTE(_5__DAILY_USAGE_TREND[[#This Row],[TOTAL_DURATION]],"hour",":"),"min",""))</f>
        <v>0.91250000000000009</v>
      </c>
    </row>
    <row r="624" spans="1:8" x14ac:dyDescent="0.3">
      <c r="A624" s="1">
        <v>45749</v>
      </c>
      <c r="B624">
        <v>6</v>
      </c>
      <c r="C624">
        <v>3</v>
      </c>
      <c r="D624">
        <v>9</v>
      </c>
      <c r="E624">
        <v>3037</v>
      </c>
      <c r="F624">
        <v>6</v>
      </c>
      <c r="G624" t="s">
        <v>540</v>
      </c>
      <c r="H624">
        <f>TIMEVALUE(SUBSTITUTE(SUBSTITUTE(_5__DAILY_USAGE_TREND[[#This Row],[TOTAL_DURATION]],"hour",":"),"min",""))</f>
        <v>0.72361111111111109</v>
      </c>
    </row>
    <row r="625" spans="1:8" x14ac:dyDescent="0.3">
      <c r="A625" s="1">
        <v>45750</v>
      </c>
      <c r="B625">
        <v>2</v>
      </c>
      <c r="C625">
        <v>2</v>
      </c>
      <c r="D625">
        <v>6</v>
      </c>
      <c r="E625">
        <v>2255</v>
      </c>
      <c r="F625">
        <v>2</v>
      </c>
      <c r="G625" t="s">
        <v>58</v>
      </c>
      <c r="H625">
        <f>TIMEVALUE(SUBSTITUTE(SUBSTITUTE(_5__DAILY_USAGE_TREND[[#This Row],[TOTAL_DURATION]],"hour",":"),"min",""))</f>
        <v>5.6944444444444443E-2</v>
      </c>
    </row>
    <row r="626" spans="1:8" x14ac:dyDescent="0.3">
      <c r="A626" s="1">
        <v>45751</v>
      </c>
      <c r="B626">
        <v>4</v>
      </c>
      <c r="C626">
        <v>3</v>
      </c>
      <c r="D626">
        <v>10</v>
      </c>
      <c r="E626">
        <v>5455</v>
      </c>
      <c r="F626">
        <v>4</v>
      </c>
      <c r="G626" t="s">
        <v>541</v>
      </c>
      <c r="H626">
        <f>TIMEVALUE(SUBSTITUTE(SUBSTITUTE(_5__DAILY_USAGE_TREND[[#This Row],[TOTAL_DURATION]],"hour",":"),"min",""))</f>
        <v>0.21875</v>
      </c>
    </row>
    <row r="627" spans="1:8" x14ac:dyDescent="0.3">
      <c r="A627" s="1">
        <v>45752</v>
      </c>
      <c r="B627">
        <v>3</v>
      </c>
      <c r="C627">
        <v>2</v>
      </c>
      <c r="D627">
        <v>6</v>
      </c>
      <c r="E627">
        <v>2307</v>
      </c>
      <c r="F627">
        <v>3</v>
      </c>
      <c r="G627" t="s">
        <v>542</v>
      </c>
      <c r="H627">
        <f>TIMEVALUE(SUBSTITUTE(SUBSTITUTE(_5__DAILY_USAGE_TREND[[#This Row],[TOTAL_DURATION]],"hour",":"),"min",""))</f>
        <v>0.18402777777777779</v>
      </c>
    </row>
    <row r="628" spans="1:8" x14ac:dyDescent="0.3">
      <c r="A628" s="1">
        <v>45753</v>
      </c>
      <c r="B628">
        <v>3</v>
      </c>
      <c r="C628">
        <v>3</v>
      </c>
      <c r="D628">
        <v>7</v>
      </c>
      <c r="E628">
        <v>2168</v>
      </c>
      <c r="F628">
        <v>3</v>
      </c>
      <c r="G628" t="s">
        <v>169</v>
      </c>
      <c r="H628">
        <f>TIMEVALUE(SUBSTITUTE(SUBSTITUTE(_5__DAILY_USAGE_TREND[[#This Row],[TOTAL_DURATION]],"hour",":"),"min",""))</f>
        <v>7.8472222222222221E-2</v>
      </c>
    </row>
    <row r="629" spans="1:8" x14ac:dyDescent="0.3">
      <c r="A629" s="1">
        <v>45754</v>
      </c>
      <c r="B629">
        <v>4</v>
      </c>
      <c r="C629">
        <v>3</v>
      </c>
      <c r="D629">
        <v>8</v>
      </c>
      <c r="E629">
        <v>1808</v>
      </c>
      <c r="F629">
        <v>4</v>
      </c>
      <c r="G629" t="s">
        <v>210</v>
      </c>
      <c r="H629">
        <f>TIMEVALUE(SUBSTITUTE(SUBSTITUTE(_5__DAILY_USAGE_TREND[[#This Row],[TOTAL_DURATION]],"hour",":"),"min",""))</f>
        <v>0.16250000000000001</v>
      </c>
    </row>
    <row r="630" spans="1:8" x14ac:dyDescent="0.3">
      <c r="A630" s="1">
        <v>45755</v>
      </c>
      <c r="B630">
        <v>3</v>
      </c>
      <c r="C630">
        <v>1</v>
      </c>
      <c r="D630">
        <v>8</v>
      </c>
      <c r="E630">
        <v>1890</v>
      </c>
      <c r="F630">
        <v>3</v>
      </c>
      <c r="G630" t="s">
        <v>107</v>
      </c>
      <c r="H630">
        <f>TIMEVALUE(SUBSTITUTE(SUBSTITUTE(_5__DAILY_USAGE_TREND[[#This Row],[TOTAL_DURATION]],"hour",":"),"min",""))</f>
        <v>0.29236111111111113</v>
      </c>
    </row>
    <row r="631" spans="1:8" x14ac:dyDescent="0.3">
      <c r="A631" s="1">
        <v>45756</v>
      </c>
      <c r="B631">
        <v>4</v>
      </c>
      <c r="C631">
        <v>3</v>
      </c>
      <c r="D631">
        <v>10</v>
      </c>
      <c r="E631">
        <v>3243</v>
      </c>
      <c r="F631">
        <v>4</v>
      </c>
      <c r="G631" t="s">
        <v>485</v>
      </c>
      <c r="H631">
        <f>TIMEVALUE(SUBSTITUTE(SUBSTITUTE(_5__DAILY_USAGE_TREND[[#This Row],[TOTAL_DURATION]],"hour",":"),"min",""))</f>
        <v>0.31319444444444444</v>
      </c>
    </row>
    <row r="632" spans="1:8" x14ac:dyDescent="0.3">
      <c r="A632" s="1">
        <v>45757</v>
      </c>
      <c r="B632">
        <v>7</v>
      </c>
      <c r="C632">
        <v>6</v>
      </c>
      <c r="D632">
        <v>15</v>
      </c>
      <c r="E632">
        <v>5306</v>
      </c>
      <c r="F632">
        <v>7</v>
      </c>
      <c r="G632" t="s">
        <v>543</v>
      </c>
      <c r="H632">
        <f>TIMEVALUE(SUBSTITUTE(SUBSTITUTE(_5__DAILY_USAGE_TREND[[#This Row],[TOTAL_DURATION]],"hour",":"),"min",""))</f>
        <v>0.28541666666666665</v>
      </c>
    </row>
    <row r="633" spans="1:8" x14ac:dyDescent="0.3">
      <c r="A633" s="1">
        <v>45758</v>
      </c>
      <c r="B633">
        <v>5</v>
      </c>
      <c r="C633">
        <v>5</v>
      </c>
      <c r="D633">
        <v>12</v>
      </c>
      <c r="E633">
        <v>4776</v>
      </c>
      <c r="F633">
        <v>5</v>
      </c>
      <c r="G633" t="s">
        <v>544</v>
      </c>
      <c r="H633">
        <f>TIMEVALUE(SUBSTITUTE(SUBSTITUTE(_5__DAILY_USAGE_TREND[[#This Row],[TOTAL_DURATION]],"hour",":"),"min",""))</f>
        <v>0.62777777777777777</v>
      </c>
    </row>
    <row r="634" spans="1:8" x14ac:dyDescent="0.3">
      <c r="A634" s="1">
        <v>45759</v>
      </c>
      <c r="B634">
        <v>8</v>
      </c>
      <c r="C634">
        <v>5</v>
      </c>
      <c r="D634">
        <v>21</v>
      </c>
      <c r="E634">
        <v>7221</v>
      </c>
      <c r="F634">
        <v>8</v>
      </c>
      <c r="G634" t="s">
        <v>545</v>
      </c>
      <c r="H634">
        <f>TIMEVALUE(SUBSTITUTE(SUBSTITUTE(_5__DAILY_USAGE_TREND[[#This Row],[TOTAL_DURATION]],"hour",":"),"min",""))</f>
        <v>0.48194444444444429</v>
      </c>
    </row>
    <row r="635" spans="1:8" x14ac:dyDescent="0.3">
      <c r="A635" s="1">
        <v>45760</v>
      </c>
      <c r="B635">
        <v>10</v>
      </c>
      <c r="C635">
        <v>7</v>
      </c>
      <c r="D635">
        <v>22</v>
      </c>
      <c r="E635">
        <v>7681</v>
      </c>
      <c r="F635">
        <v>10</v>
      </c>
      <c r="G635" t="s">
        <v>546</v>
      </c>
      <c r="H635">
        <f>TIMEVALUE(SUBSTITUTE(SUBSTITUTE(_5__DAILY_USAGE_TREND[[#This Row],[TOTAL_DURATION]],"hour",":"),"min",""))</f>
        <v>0.61874999999999991</v>
      </c>
    </row>
    <row r="636" spans="1:8" x14ac:dyDescent="0.3">
      <c r="A636" s="1">
        <v>45761</v>
      </c>
      <c r="B636">
        <v>4</v>
      </c>
      <c r="C636">
        <v>4</v>
      </c>
      <c r="D636">
        <v>10</v>
      </c>
      <c r="E636">
        <v>3310</v>
      </c>
      <c r="F636">
        <v>4</v>
      </c>
      <c r="G636" t="s">
        <v>547</v>
      </c>
      <c r="H636">
        <f>TIMEVALUE(SUBSTITUTE(SUBSTITUTE(_5__DAILY_USAGE_TREND[[#This Row],[TOTAL_DURATION]],"hour",":"),"min",""))</f>
        <v>0.58750000000000002</v>
      </c>
    </row>
    <row r="637" spans="1:8" x14ac:dyDescent="0.3">
      <c r="A637" s="1">
        <v>45762</v>
      </c>
      <c r="B637">
        <v>3</v>
      </c>
      <c r="C637">
        <v>3</v>
      </c>
      <c r="D637">
        <v>4</v>
      </c>
      <c r="E637">
        <v>1167</v>
      </c>
      <c r="F637">
        <v>3</v>
      </c>
      <c r="G637" t="s">
        <v>548</v>
      </c>
      <c r="H637">
        <f>TIMEVALUE(SUBSTITUTE(SUBSTITUTE(_5__DAILY_USAGE_TREND[[#This Row],[TOTAL_DURATION]],"hour",":"),"min",""))</f>
        <v>0.19583333333333333</v>
      </c>
    </row>
    <row r="638" spans="1:8" x14ac:dyDescent="0.3">
      <c r="A638" s="1">
        <v>45763</v>
      </c>
      <c r="B638">
        <v>7</v>
      </c>
      <c r="C638">
        <v>5</v>
      </c>
      <c r="D638">
        <v>11</v>
      </c>
      <c r="E638">
        <v>4575</v>
      </c>
      <c r="F638">
        <v>7</v>
      </c>
      <c r="G638" t="s">
        <v>549</v>
      </c>
      <c r="H638">
        <f>TIMEVALUE(SUBSTITUTE(SUBSTITUTE(_5__DAILY_USAGE_TREND[[#This Row],[TOTAL_DURATION]],"hour",":"),"min",""))</f>
        <v>0.19027777777777777</v>
      </c>
    </row>
    <row r="639" spans="1:8" x14ac:dyDescent="0.3">
      <c r="A639" s="1">
        <v>45764</v>
      </c>
      <c r="B639">
        <v>9</v>
      </c>
      <c r="C639">
        <v>7</v>
      </c>
      <c r="D639">
        <v>25</v>
      </c>
      <c r="E639">
        <v>7612</v>
      </c>
      <c r="F639">
        <v>10</v>
      </c>
      <c r="G639" t="s">
        <v>550</v>
      </c>
      <c r="H639">
        <f>TIMEVALUE(SUBSTITUTE(SUBSTITUTE(_5__DAILY_USAGE_TREND[[#This Row],[TOTAL_DURATION]],"hour",":"),"min",""))</f>
        <v>0.9604166666666667</v>
      </c>
    </row>
    <row r="640" spans="1:8" x14ac:dyDescent="0.3">
      <c r="A640" s="1">
        <v>45765</v>
      </c>
      <c r="B640">
        <v>7</v>
      </c>
      <c r="C640">
        <v>5</v>
      </c>
      <c r="D640">
        <v>15</v>
      </c>
      <c r="E640">
        <v>4375</v>
      </c>
      <c r="F640">
        <v>7</v>
      </c>
      <c r="G640" t="s">
        <v>551</v>
      </c>
      <c r="H640">
        <f>TIMEVALUE(SUBSTITUTE(SUBSTITUTE(_5__DAILY_USAGE_TREND[[#This Row],[TOTAL_DURATION]],"hour",":"),"min",""))</f>
        <v>0.1201388888888888</v>
      </c>
    </row>
    <row r="641" spans="1:8" x14ac:dyDescent="0.3">
      <c r="A641" s="1">
        <v>45766</v>
      </c>
      <c r="B641">
        <v>3</v>
      </c>
      <c r="C641">
        <v>2</v>
      </c>
      <c r="D641">
        <v>8</v>
      </c>
      <c r="E641">
        <v>3882</v>
      </c>
      <c r="F641">
        <v>3</v>
      </c>
      <c r="G641" t="s">
        <v>552</v>
      </c>
      <c r="H641">
        <f>TIMEVALUE(SUBSTITUTE(SUBSTITUTE(_5__DAILY_USAGE_TREND[[#This Row],[TOTAL_DURATION]],"hour",":"),"min",""))</f>
        <v>0.67013888888888884</v>
      </c>
    </row>
    <row r="642" spans="1:8" x14ac:dyDescent="0.3">
      <c r="A642" s="1">
        <v>45767</v>
      </c>
      <c r="B642">
        <v>6</v>
      </c>
      <c r="C642">
        <v>4</v>
      </c>
      <c r="D642">
        <v>12</v>
      </c>
      <c r="E642">
        <v>3226</v>
      </c>
      <c r="F642">
        <v>6</v>
      </c>
      <c r="G642" t="s">
        <v>553</v>
      </c>
      <c r="H642">
        <f>TIMEVALUE(SUBSTITUTE(SUBSTITUTE(_5__DAILY_USAGE_TREND[[#This Row],[TOTAL_DURATION]],"hour",":"),"min",""))</f>
        <v>0.54236111111111107</v>
      </c>
    </row>
    <row r="643" spans="1:8" x14ac:dyDescent="0.3">
      <c r="A643" s="1">
        <v>45768</v>
      </c>
      <c r="B643">
        <v>4</v>
      </c>
      <c r="C643">
        <v>2</v>
      </c>
      <c r="D643">
        <v>7</v>
      </c>
      <c r="E643">
        <v>2462</v>
      </c>
      <c r="F643">
        <v>4</v>
      </c>
      <c r="G643" t="s">
        <v>199</v>
      </c>
      <c r="H643">
        <f>TIMEVALUE(SUBSTITUTE(SUBSTITUTE(_5__DAILY_USAGE_TREND[[#This Row],[TOTAL_DURATION]],"hour",":"),"min",""))</f>
        <v>0.30625000000000002</v>
      </c>
    </row>
    <row r="644" spans="1:8" x14ac:dyDescent="0.3">
      <c r="A644" s="1">
        <v>45769</v>
      </c>
      <c r="B644">
        <v>7</v>
      </c>
      <c r="C644">
        <v>4</v>
      </c>
      <c r="D644">
        <v>15</v>
      </c>
      <c r="E644">
        <v>7183</v>
      </c>
      <c r="F644">
        <v>7</v>
      </c>
      <c r="G644" t="s">
        <v>554</v>
      </c>
      <c r="H644">
        <f>TIMEVALUE(SUBSTITUTE(SUBSTITUTE(_5__DAILY_USAGE_TREND[[#This Row],[TOTAL_DURATION]],"hour",":"),"min",""))</f>
        <v>0.1958333333333333</v>
      </c>
    </row>
    <row r="645" spans="1:8" x14ac:dyDescent="0.3">
      <c r="A645" s="1">
        <v>45770</v>
      </c>
      <c r="B645">
        <v>5</v>
      </c>
      <c r="C645">
        <v>5</v>
      </c>
      <c r="D645">
        <v>17</v>
      </c>
      <c r="E645">
        <v>5481</v>
      </c>
      <c r="F645">
        <v>5</v>
      </c>
      <c r="G645" t="s">
        <v>555</v>
      </c>
      <c r="H645">
        <f>TIMEVALUE(SUBSTITUTE(SUBSTITUTE(_5__DAILY_USAGE_TREND[[#This Row],[TOTAL_DURATION]],"hour",":"),"min",""))</f>
        <v>9.0277777777777679E-2</v>
      </c>
    </row>
    <row r="646" spans="1:8" x14ac:dyDescent="0.3">
      <c r="A646" s="1">
        <v>45771</v>
      </c>
      <c r="B646">
        <v>4</v>
      </c>
      <c r="C646">
        <v>3</v>
      </c>
      <c r="D646">
        <v>13</v>
      </c>
      <c r="E646">
        <v>4873</v>
      </c>
      <c r="F646">
        <v>4</v>
      </c>
      <c r="G646" t="s">
        <v>481</v>
      </c>
      <c r="H646">
        <f>TIMEVALUE(SUBSTITUTE(SUBSTITUTE(_5__DAILY_USAGE_TREND[[#This Row],[TOTAL_DURATION]],"hour",":"),"min",""))</f>
        <v>0.67708333333333337</v>
      </c>
    </row>
    <row r="647" spans="1:8" x14ac:dyDescent="0.3">
      <c r="A647" s="1">
        <v>45772</v>
      </c>
      <c r="B647">
        <v>4</v>
      </c>
      <c r="C647">
        <v>3</v>
      </c>
      <c r="D647">
        <v>11</v>
      </c>
      <c r="E647">
        <v>3321</v>
      </c>
      <c r="F647">
        <v>4</v>
      </c>
      <c r="G647" t="s">
        <v>556</v>
      </c>
      <c r="H647">
        <f>TIMEVALUE(SUBSTITUTE(SUBSTITUTE(_5__DAILY_USAGE_TREND[[#This Row],[TOTAL_DURATION]],"hour",":"),"min",""))</f>
        <v>0.18333333333333313</v>
      </c>
    </row>
    <row r="648" spans="1:8" x14ac:dyDescent="0.3">
      <c r="A648" s="1">
        <v>45773</v>
      </c>
      <c r="B648">
        <v>2</v>
      </c>
      <c r="C648">
        <v>1</v>
      </c>
      <c r="D648">
        <v>8</v>
      </c>
      <c r="E648">
        <v>3059</v>
      </c>
      <c r="F648">
        <v>2</v>
      </c>
      <c r="G648" t="s">
        <v>557</v>
      </c>
      <c r="H648">
        <f>TIMEVALUE(SUBSTITUTE(SUBSTITUTE(_5__DAILY_USAGE_TREND[[#This Row],[TOTAL_DURATION]],"hour",":"),"min",""))</f>
        <v>0.51666666666666661</v>
      </c>
    </row>
    <row r="649" spans="1:8" x14ac:dyDescent="0.3">
      <c r="A649" s="1">
        <v>45774</v>
      </c>
      <c r="B649">
        <v>7</v>
      </c>
      <c r="C649">
        <v>6</v>
      </c>
      <c r="D649">
        <v>18</v>
      </c>
      <c r="E649">
        <v>6262</v>
      </c>
      <c r="F649">
        <v>7</v>
      </c>
      <c r="G649" t="s">
        <v>558</v>
      </c>
      <c r="H649">
        <f>TIMEVALUE(SUBSTITUTE(SUBSTITUTE(_5__DAILY_USAGE_TREND[[#This Row],[TOTAL_DURATION]],"hour",":"),"min",""))</f>
        <v>0.55902777777777779</v>
      </c>
    </row>
    <row r="650" spans="1:8" x14ac:dyDescent="0.3">
      <c r="A650" s="1">
        <v>45775</v>
      </c>
      <c r="B650">
        <v>10</v>
      </c>
      <c r="C650">
        <v>6</v>
      </c>
      <c r="D650">
        <v>24</v>
      </c>
      <c r="E650">
        <v>8453</v>
      </c>
      <c r="F650">
        <v>10</v>
      </c>
      <c r="G650" t="s">
        <v>559</v>
      </c>
      <c r="H650">
        <f>TIMEVALUE(SUBSTITUTE(SUBSTITUTE(_5__DAILY_USAGE_TREND[[#This Row],[TOTAL_DURATION]],"hour",":"),"min",""))</f>
        <v>0.64236111111111116</v>
      </c>
    </row>
    <row r="651" spans="1:8" x14ac:dyDescent="0.3">
      <c r="A651" s="1">
        <v>45776</v>
      </c>
      <c r="B651">
        <v>4</v>
      </c>
      <c r="C651">
        <v>3</v>
      </c>
      <c r="D651">
        <v>10</v>
      </c>
      <c r="E651">
        <v>4069</v>
      </c>
      <c r="F651">
        <v>4</v>
      </c>
      <c r="G651" t="s">
        <v>560</v>
      </c>
      <c r="H651">
        <f>TIMEVALUE(SUBSTITUTE(SUBSTITUTE(_5__DAILY_USAGE_TREND[[#This Row],[TOTAL_DURATION]],"hour",":"),"min",""))</f>
        <v>0.38958333333333334</v>
      </c>
    </row>
    <row r="652" spans="1:8" x14ac:dyDescent="0.3">
      <c r="A652" s="1">
        <v>45777</v>
      </c>
      <c r="B652">
        <v>3</v>
      </c>
      <c r="C652">
        <v>3</v>
      </c>
      <c r="D652">
        <v>9</v>
      </c>
      <c r="E652">
        <v>3462</v>
      </c>
      <c r="F652">
        <v>3</v>
      </c>
      <c r="G652" t="s">
        <v>561</v>
      </c>
      <c r="H652">
        <f>TIMEVALUE(SUBSTITUTE(SUBSTITUTE(_5__DAILY_USAGE_TREND[[#This Row],[TOTAL_DURATION]],"hour",":"),"min",""))</f>
        <v>0.59652777777777777</v>
      </c>
    </row>
    <row r="653" spans="1:8" x14ac:dyDescent="0.3">
      <c r="A653" s="1">
        <v>45778</v>
      </c>
      <c r="B653">
        <v>7</v>
      </c>
      <c r="C653">
        <v>5</v>
      </c>
      <c r="D653">
        <v>14</v>
      </c>
      <c r="E653">
        <v>4649</v>
      </c>
      <c r="F653">
        <v>7</v>
      </c>
      <c r="G653" t="s">
        <v>562</v>
      </c>
      <c r="H653">
        <f>TIMEVALUE(SUBSTITUTE(SUBSTITUTE(_5__DAILY_USAGE_TREND[[#This Row],[TOTAL_DURATION]],"hour",":"),"min",""))</f>
        <v>0.27916666666666667</v>
      </c>
    </row>
    <row r="654" spans="1:8" x14ac:dyDescent="0.3">
      <c r="A654" s="1">
        <v>45779</v>
      </c>
      <c r="B654">
        <v>2</v>
      </c>
      <c r="C654">
        <v>2</v>
      </c>
      <c r="D654">
        <v>3</v>
      </c>
      <c r="E654">
        <v>1363</v>
      </c>
      <c r="F654">
        <v>2</v>
      </c>
      <c r="G654" t="s">
        <v>28</v>
      </c>
      <c r="H654">
        <f>TIMEVALUE(SUBSTITUTE(SUBSTITUTE(_5__DAILY_USAGE_TREND[[#This Row],[TOTAL_DURATION]],"hour",":"),"min",""))</f>
        <v>4.8611111111111112E-2</v>
      </c>
    </row>
    <row r="655" spans="1:8" x14ac:dyDescent="0.3">
      <c r="A655" s="1">
        <v>45780</v>
      </c>
      <c r="B655">
        <v>5</v>
      </c>
      <c r="C655">
        <v>3</v>
      </c>
      <c r="D655">
        <v>19</v>
      </c>
      <c r="E655">
        <v>7971</v>
      </c>
      <c r="F655">
        <v>5</v>
      </c>
      <c r="G655" t="s">
        <v>563</v>
      </c>
      <c r="H655">
        <f>TIMEVALUE(SUBSTITUTE(SUBSTITUTE(_5__DAILY_USAGE_TREND[[#This Row],[TOTAL_DURATION]],"hour",":"),"min",""))</f>
        <v>0.19305555555555554</v>
      </c>
    </row>
    <row r="656" spans="1:8" x14ac:dyDescent="0.3">
      <c r="A656" s="1">
        <v>45781</v>
      </c>
      <c r="B656">
        <v>5</v>
      </c>
      <c r="C656">
        <v>3</v>
      </c>
      <c r="D656">
        <v>9</v>
      </c>
      <c r="E656">
        <v>3579</v>
      </c>
      <c r="F656">
        <v>5</v>
      </c>
      <c r="G656" t="s">
        <v>564</v>
      </c>
      <c r="H656">
        <f>TIMEVALUE(SUBSTITUTE(SUBSTITUTE(_5__DAILY_USAGE_TREND[[#This Row],[TOTAL_DURATION]],"hour",":"),"min",""))</f>
        <v>0.82361111111111107</v>
      </c>
    </row>
    <row r="657" spans="1:8" x14ac:dyDescent="0.3">
      <c r="A657" s="1">
        <v>45782</v>
      </c>
      <c r="B657">
        <v>9</v>
      </c>
      <c r="C657">
        <v>5</v>
      </c>
      <c r="D657">
        <v>25</v>
      </c>
      <c r="E657">
        <v>10099</v>
      </c>
      <c r="F657">
        <v>9</v>
      </c>
      <c r="G657" t="s">
        <v>565</v>
      </c>
      <c r="H657">
        <f>TIMEVALUE(SUBSTITUTE(SUBSTITUTE(_5__DAILY_USAGE_TREND[[#This Row],[TOTAL_DURATION]],"hour",":"),"min",""))</f>
        <v>0.98680555555555571</v>
      </c>
    </row>
    <row r="658" spans="1:8" x14ac:dyDescent="0.3">
      <c r="A658" s="1">
        <v>45783</v>
      </c>
      <c r="B658">
        <v>4</v>
      </c>
      <c r="C658">
        <v>4</v>
      </c>
      <c r="D658">
        <v>6</v>
      </c>
      <c r="E658">
        <v>1147</v>
      </c>
      <c r="F658">
        <v>4</v>
      </c>
      <c r="G658" t="s">
        <v>468</v>
      </c>
      <c r="H658">
        <f>TIMEVALUE(SUBSTITUTE(SUBSTITUTE(_5__DAILY_USAGE_TREND[[#This Row],[TOTAL_DURATION]],"hour",":"),"min",""))</f>
        <v>0.22291666666666668</v>
      </c>
    </row>
    <row r="659" spans="1:8" x14ac:dyDescent="0.3">
      <c r="A659" s="1">
        <v>45784</v>
      </c>
      <c r="B659">
        <v>5</v>
      </c>
      <c r="C659">
        <v>4</v>
      </c>
      <c r="D659">
        <v>13</v>
      </c>
      <c r="E659">
        <v>6247</v>
      </c>
      <c r="F659">
        <v>5</v>
      </c>
      <c r="G659" t="s">
        <v>566</v>
      </c>
      <c r="H659">
        <f>TIMEVALUE(SUBSTITUTE(SUBSTITUTE(_5__DAILY_USAGE_TREND[[#This Row],[TOTAL_DURATION]],"hour",":"),"min",""))</f>
        <v>0.64930555555555558</v>
      </c>
    </row>
    <row r="660" spans="1:8" x14ac:dyDescent="0.3">
      <c r="A660" s="1">
        <v>45785</v>
      </c>
      <c r="B660">
        <v>7</v>
      </c>
      <c r="C660">
        <v>5</v>
      </c>
      <c r="D660">
        <v>15</v>
      </c>
      <c r="E660">
        <v>5662</v>
      </c>
      <c r="F660">
        <v>7</v>
      </c>
      <c r="G660" t="s">
        <v>567</v>
      </c>
      <c r="H660">
        <f>TIMEVALUE(SUBSTITUTE(SUBSTITUTE(_5__DAILY_USAGE_TREND[[#This Row],[TOTAL_DURATION]],"hour",":"),"min",""))</f>
        <v>0.78194444444444444</v>
      </c>
    </row>
    <row r="661" spans="1:8" x14ac:dyDescent="0.3">
      <c r="A661" s="1">
        <v>45786</v>
      </c>
      <c r="B661">
        <v>7</v>
      </c>
      <c r="C661">
        <v>4</v>
      </c>
      <c r="D661">
        <v>19</v>
      </c>
      <c r="E661">
        <v>7414</v>
      </c>
      <c r="F661">
        <v>7</v>
      </c>
      <c r="G661" t="s">
        <v>568</v>
      </c>
      <c r="H661">
        <f>TIMEVALUE(SUBSTITUTE(SUBSTITUTE(_5__DAILY_USAGE_TREND[[#This Row],[TOTAL_DURATION]],"hour",":"),"min",""))</f>
        <v>0.45138888888888884</v>
      </c>
    </row>
    <row r="662" spans="1:8" x14ac:dyDescent="0.3">
      <c r="A662" s="1">
        <v>45787</v>
      </c>
      <c r="B662">
        <v>5</v>
      </c>
      <c r="C662">
        <v>5</v>
      </c>
      <c r="D662">
        <v>11</v>
      </c>
      <c r="E662">
        <v>4124</v>
      </c>
      <c r="F662">
        <v>5</v>
      </c>
      <c r="G662" t="s">
        <v>569</v>
      </c>
      <c r="H662">
        <f>TIMEVALUE(SUBSTITUTE(SUBSTITUTE(_5__DAILY_USAGE_TREND[[#This Row],[TOTAL_DURATION]],"hour",":"),"min",""))</f>
        <v>0.56458333333333344</v>
      </c>
    </row>
    <row r="663" spans="1:8" x14ac:dyDescent="0.3">
      <c r="A663" s="1">
        <v>45788</v>
      </c>
      <c r="B663">
        <v>10</v>
      </c>
      <c r="C663">
        <v>6</v>
      </c>
      <c r="D663">
        <v>16</v>
      </c>
      <c r="E663">
        <v>4894</v>
      </c>
      <c r="F663">
        <v>10</v>
      </c>
      <c r="G663" t="s">
        <v>570</v>
      </c>
      <c r="H663">
        <f>TIMEVALUE(SUBSTITUTE(SUBSTITUTE(_5__DAILY_USAGE_TREND[[#This Row],[TOTAL_DURATION]],"hour",":"),"min",""))</f>
        <v>0.96597222222222223</v>
      </c>
    </row>
    <row r="664" spans="1:8" x14ac:dyDescent="0.3">
      <c r="A664" s="1">
        <v>45789</v>
      </c>
      <c r="B664">
        <v>2</v>
      </c>
      <c r="C664">
        <v>1</v>
      </c>
      <c r="D664">
        <v>3</v>
      </c>
      <c r="E664">
        <v>1385</v>
      </c>
      <c r="F664">
        <v>2</v>
      </c>
      <c r="G664" t="s">
        <v>105</v>
      </c>
      <c r="H664">
        <f>TIMEVALUE(SUBSTITUTE(SUBSTITUTE(_5__DAILY_USAGE_TREND[[#This Row],[TOTAL_DURATION]],"hour",":"),"min",""))</f>
        <v>9.583333333333334E-2</v>
      </c>
    </row>
    <row r="665" spans="1:8" x14ac:dyDescent="0.3">
      <c r="A665" s="1">
        <v>45790</v>
      </c>
      <c r="B665">
        <v>3</v>
      </c>
      <c r="C665">
        <v>3</v>
      </c>
      <c r="D665">
        <v>7</v>
      </c>
      <c r="E665">
        <v>3399</v>
      </c>
      <c r="F665">
        <v>3</v>
      </c>
      <c r="G665" t="s">
        <v>352</v>
      </c>
      <c r="H665">
        <f>TIMEVALUE(SUBSTITUTE(SUBSTITUTE(_5__DAILY_USAGE_TREND[[#This Row],[TOTAL_DURATION]],"hour",":"),"min",""))</f>
        <v>0.28194444444444444</v>
      </c>
    </row>
    <row r="666" spans="1:8" x14ac:dyDescent="0.3">
      <c r="A666" s="1">
        <v>45791</v>
      </c>
      <c r="B666">
        <v>3</v>
      </c>
      <c r="C666">
        <v>3</v>
      </c>
      <c r="D666">
        <v>8</v>
      </c>
      <c r="E666">
        <v>2527</v>
      </c>
      <c r="F666">
        <v>3</v>
      </c>
      <c r="G666" t="s">
        <v>571</v>
      </c>
      <c r="H666">
        <f>TIMEVALUE(SUBSTITUTE(SUBSTITUTE(_5__DAILY_USAGE_TREND[[#This Row],[TOTAL_DURATION]],"hour",":"),"min",""))</f>
        <v>0.34305555555555556</v>
      </c>
    </row>
    <row r="667" spans="1:8" x14ac:dyDescent="0.3">
      <c r="A667" s="1">
        <v>45792</v>
      </c>
      <c r="B667">
        <v>6</v>
      </c>
      <c r="C667">
        <v>4</v>
      </c>
      <c r="D667">
        <v>9</v>
      </c>
      <c r="E667">
        <v>3124</v>
      </c>
      <c r="F667">
        <v>6</v>
      </c>
      <c r="G667" t="s">
        <v>572</v>
      </c>
      <c r="H667">
        <f>TIMEVALUE(SUBSTITUTE(SUBSTITUTE(_5__DAILY_USAGE_TREND[[#This Row],[TOTAL_DURATION]],"hour",":"),"min",""))</f>
        <v>0.65972222222222221</v>
      </c>
    </row>
    <row r="668" spans="1:8" x14ac:dyDescent="0.3">
      <c r="A668" s="1">
        <v>45793</v>
      </c>
      <c r="B668">
        <v>8</v>
      </c>
      <c r="C668">
        <v>6</v>
      </c>
      <c r="D668">
        <v>14</v>
      </c>
      <c r="E668">
        <v>5775</v>
      </c>
      <c r="F668">
        <v>8</v>
      </c>
      <c r="G668" t="s">
        <v>573</v>
      </c>
      <c r="H668">
        <f>TIMEVALUE(SUBSTITUTE(SUBSTITUTE(_5__DAILY_USAGE_TREND[[#This Row],[TOTAL_DURATION]],"hour",":"),"min",""))</f>
        <v>3.8888888888888973E-2</v>
      </c>
    </row>
    <row r="669" spans="1:8" x14ac:dyDescent="0.3">
      <c r="A669" s="1">
        <v>45794</v>
      </c>
      <c r="B669">
        <v>5</v>
      </c>
      <c r="C669">
        <v>4</v>
      </c>
      <c r="D669">
        <v>13</v>
      </c>
      <c r="E669">
        <v>5352</v>
      </c>
      <c r="F669">
        <v>5</v>
      </c>
      <c r="G669" t="s">
        <v>468</v>
      </c>
      <c r="H669">
        <f>TIMEVALUE(SUBSTITUTE(SUBSTITUTE(_5__DAILY_USAGE_TREND[[#This Row],[TOTAL_DURATION]],"hour",":"),"min",""))</f>
        <v>0.22291666666666668</v>
      </c>
    </row>
    <row r="670" spans="1:8" x14ac:dyDescent="0.3">
      <c r="A670" s="1">
        <v>45795</v>
      </c>
      <c r="B670">
        <v>5</v>
      </c>
      <c r="C670">
        <v>3</v>
      </c>
      <c r="D670">
        <v>10</v>
      </c>
      <c r="E670">
        <v>3584</v>
      </c>
      <c r="F670">
        <v>5</v>
      </c>
      <c r="G670" t="s">
        <v>420</v>
      </c>
      <c r="H670">
        <f>TIMEVALUE(SUBSTITUTE(SUBSTITUTE(_5__DAILY_USAGE_TREND[[#This Row],[TOTAL_DURATION]],"hour",":"),"min",""))</f>
        <v>0.77083333333333337</v>
      </c>
    </row>
    <row r="671" spans="1:8" x14ac:dyDescent="0.3">
      <c r="A671" s="1">
        <v>45796</v>
      </c>
      <c r="B671">
        <v>5</v>
      </c>
      <c r="C671">
        <v>4</v>
      </c>
      <c r="D671">
        <v>8</v>
      </c>
      <c r="E671">
        <v>3150</v>
      </c>
      <c r="F671">
        <v>5</v>
      </c>
      <c r="G671" t="s">
        <v>209</v>
      </c>
      <c r="H671">
        <f>TIMEVALUE(SUBSTITUTE(SUBSTITUTE(_5__DAILY_USAGE_TREND[[#This Row],[TOTAL_DURATION]],"hour",":"),"min",""))</f>
        <v>6.6666666666666666E-2</v>
      </c>
    </row>
    <row r="672" spans="1:8" x14ac:dyDescent="0.3">
      <c r="A672" s="1">
        <v>45797</v>
      </c>
      <c r="B672">
        <v>4</v>
      </c>
      <c r="C672">
        <v>4</v>
      </c>
      <c r="D672">
        <v>8</v>
      </c>
      <c r="E672">
        <v>2999</v>
      </c>
      <c r="F672">
        <v>4</v>
      </c>
      <c r="G672" t="s">
        <v>574</v>
      </c>
      <c r="H672">
        <f>TIMEVALUE(SUBSTITUTE(SUBSTITUTE(_5__DAILY_USAGE_TREND[[#This Row],[TOTAL_DURATION]],"hour",":"),"min",""))</f>
        <v>0.16180555555555556</v>
      </c>
    </row>
    <row r="673" spans="1:8" x14ac:dyDescent="0.3">
      <c r="A673" s="1">
        <v>45798</v>
      </c>
      <c r="B673">
        <v>4</v>
      </c>
      <c r="C673">
        <v>4</v>
      </c>
      <c r="D673">
        <v>7</v>
      </c>
      <c r="E673">
        <v>1630</v>
      </c>
      <c r="F673">
        <v>4</v>
      </c>
      <c r="G673" t="s">
        <v>421</v>
      </c>
      <c r="H673">
        <f>TIMEVALUE(SUBSTITUTE(SUBSTITUTE(_5__DAILY_USAGE_TREND[[#This Row],[TOTAL_DURATION]],"hour",":"),"min",""))</f>
        <v>0.2361111111111111</v>
      </c>
    </row>
    <row r="674" spans="1:8" x14ac:dyDescent="0.3">
      <c r="A674" s="1">
        <v>45799</v>
      </c>
      <c r="B674">
        <v>3</v>
      </c>
      <c r="C674">
        <v>3</v>
      </c>
      <c r="D674">
        <v>7</v>
      </c>
      <c r="E674">
        <v>2631</v>
      </c>
      <c r="F674">
        <v>3</v>
      </c>
      <c r="G674" t="s">
        <v>474</v>
      </c>
      <c r="H674">
        <f>TIMEVALUE(SUBSTITUTE(SUBSTITUTE(_5__DAILY_USAGE_TREND[[#This Row],[TOTAL_DURATION]],"hour",":"),"min",""))</f>
        <v>0.23402777777777778</v>
      </c>
    </row>
    <row r="675" spans="1:8" x14ac:dyDescent="0.3">
      <c r="A675" s="1">
        <v>45800</v>
      </c>
      <c r="B675">
        <v>4</v>
      </c>
      <c r="C675">
        <v>2</v>
      </c>
      <c r="D675">
        <v>5</v>
      </c>
      <c r="E675">
        <v>1795</v>
      </c>
      <c r="F675">
        <v>4</v>
      </c>
      <c r="G675" t="s">
        <v>406</v>
      </c>
      <c r="H675">
        <f>TIMEVALUE(SUBSTITUTE(SUBSTITUTE(_5__DAILY_USAGE_TREND[[#This Row],[TOTAL_DURATION]],"hour",":"),"min",""))</f>
        <v>0.21805555555555556</v>
      </c>
    </row>
    <row r="676" spans="1:8" x14ac:dyDescent="0.3">
      <c r="A676" s="1">
        <v>45801</v>
      </c>
      <c r="B676">
        <v>9</v>
      </c>
      <c r="C676">
        <v>5</v>
      </c>
      <c r="D676">
        <v>28</v>
      </c>
      <c r="E676">
        <v>11289</v>
      </c>
      <c r="F676">
        <v>9</v>
      </c>
      <c r="G676" t="s">
        <v>575</v>
      </c>
      <c r="H676">
        <f>TIMEVALUE(SUBSTITUTE(SUBSTITUTE(_5__DAILY_USAGE_TREND[[#This Row],[TOTAL_DURATION]],"hour",":"),"min",""))</f>
        <v>0.72500000000000009</v>
      </c>
    </row>
    <row r="677" spans="1:8" x14ac:dyDescent="0.3">
      <c r="A677" s="1">
        <v>45802</v>
      </c>
      <c r="B677">
        <v>3</v>
      </c>
      <c r="C677">
        <v>2</v>
      </c>
      <c r="D677">
        <v>8</v>
      </c>
      <c r="E677">
        <v>3189</v>
      </c>
      <c r="F677">
        <v>3</v>
      </c>
      <c r="G677" t="s">
        <v>576</v>
      </c>
      <c r="H677">
        <f>TIMEVALUE(SUBSTITUTE(SUBSTITUTE(_5__DAILY_USAGE_TREND[[#This Row],[TOTAL_DURATION]],"hour",":"),"min",""))</f>
        <v>0.60347222222222219</v>
      </c>
    </row>
    <row r="678" spans="1:8" x14ac:dyDescent="0.3">
      <c r="A678" s="1">
        <v>45803</v>
      </c>
      <c r="B678">
        <v>5</v>
      </c>
      <c r="C678">
        <v>5</v>
      </c>
      <c r="D678">
        <v>7</v>
      </c>
      <c r="E678">
        <v>2363</v>
      </c>
      <c r="F678">
        <v>5</v>
      </c>
      <c r="G678" t="s">
        <v>577</v>
      </c>
      <c r="H678">
        <f>TIMEVALUE(SUBSTITUTE(SUBSTITUTE(_5__DAILY_USAGE_TREND[[#This Row],[TOTAL_DURATION]],"hour",":"),"min",""))</f>
        <v>0.54722222222222228</v>
      </c>
    </row>
    <row r="679" spans="1:8" x14ac:dyDescent="0.3">
      <c r="A679" s="1">
        <v>45804</v>
      </c>
      <c r="B679">
        <v>5</v>
      </c>
      <c r="C679">
        <v>4</v>
      </c>
      <c r="D679">
        <v>12</v>
      </c>
      <c r="E679">
        <v>4521</v>
      </c>
      <c r="F679">
        <v>5</v>
      </c>
      <c r="G679" t="s">
        <v>502</v>
      </c>
      <c r="H679">
        <f>TIMEVALUE(SUBSTITUTE(SUBSTITUTE(_5__DAILY_USAGE_TREND[[#This Row],[TOTAL_DURATION]],"hour",":"),"min",""))</f>
        <v>0.53680555555555554</v>
      </c>
    </row>
    <row r="680" spans="1:8" x14ac:dyDescent="0.3">
      <c r="A680" s="1">
        <v>45805</v>
      </c>
      <c r="B680">
        <v>5</v>
      </c>
      <c r="C680">
        <v>4</v>
      </c>
      <c r="D680">
        <v>10</v>
      </c>
      <c r="E680">
        <v>3863</v>
      </c>
      <c r="F680">
        <v>5</v>
      </c>
      <c r="G680" t="s">
        <v>578</v>
      </c>
      <c r="H680">
        <f>TIMEVALUE(SUBSTITUTE(SUBSTITUTE(_5__DAILY_USAGE_TREND[[#This Row],[TOTAL_DURATION]],"hour",":"),"min",""))</f>
        <v>0.52847222222222223</v>
      </c>
    </row>
    <row r="681" spans="1:8" x14ac:dyDescent="0.3">
      <c r="A681" s="1">
        <v>45806</v>
      </c>
      <c r="B681">
        <v>2</v>
      </c>
      <c r="C681">
        <v>2</v>
      </c>
      <c r="D681">
        <v>4</v>
      </c>
      <c r="E681">
        <v>1319</v>
      </c>
      <c r="F681">
        <v>2</v>
      </c>
      <c r="G681" t="s">
        <v>579</v>
      </c>
      <c r="H681">
        <f>TIMEVALUE(SUBSTITUTE(SUBSTITUTE(_5__DAILY_USAGE_TREND[[#This Row],[TOTAL_DURATION]],"hour",":"),"min",""))</f>
        <v>0.20694444444444443</v>
      </c>
    </row>
    <row r="682" spans="1:8" x14ac:dyDescent="0.3">
      <c r="A682" s="1">
        <v>45807</v>
      </c>
      <c r="B682">
        <v>5</v>
      </c>
      <c r="C682">
        <v>4</v>
      </c>
      <c r="D682">
        <v>9</v>
      </c>
      <c r="E682">
        <v>3695</v>
      </c>
      <c r="F682">
        <v>5</v>
      </c>
      <c r="G682" t="s">
        <v>580</v>
      </c>
      <c r="H682">
        <f>TIMEVALUE(SUBSTITUTE(SUBSTITUTE(_5__DAILY_USAGE_TREND[[#This Row],[TOTAL_DURATION]],"hour",":"),"min",""))</f>
        <v>0.45902777777777776</v>
      </c>
    </row>
    <row r="683" spans="1:8" x14ac:dyDescent="0.3">
      <c r="A683" s="1">
        <v>45808</v>
      </c>
      <c r="B683">
        <v>3</v>
      </c>
      <c r="C683">
        <v>3</v>
      </c>
      <c r="D683">
        <v>8</v>
      </c>
      <c r="E683">
        <v>2967</v>
      </c>
      <c r="F683">
        <v>3</v>
      </c>
      <c r="G683" t="s">
        <v>139</v>
      </c>
      <c r="H683">
        <f>TIMEVALUE(SUBSTITUTE(SUBSTITUTE(_5__DAILY_USAGE_TREND[[#This Row],[TOTAL_DURATION]],"hour",":"),"min",""))</f>
        <v>0.21458333333333332</v>
      </c>
    </row>
    <row r="684" spans="1:8" x14ac:dyDescent="0.3">
      <c r="A684" s="1">
        <v>45809</v>
      </c>
      <c r="B684">
        <v>7</v>
      </c>
      <c r="C684">
        <v>5</v>
      </c>
      <c r="D684">
        <v>16</v>
      </c>
      <c r="E684">
        <v>4944</v>
      </c>
      <c r="F684">
        <v>7</v>
      </c>
      <c r="G684" t="s">
        <v>581</v>
      </c>
      <c r="H684">
        <f>TIMEVALUE(SUBSTITUTE(SUBSTITUTE(_5__DAILY_USAGE_TREND[[#This Row],[TOTAL_DURATION]],"hour",":"),"min",""))</f>
        <v>0.63124999999999998</v>
      </c>
    </row>
    <row r="685" spans="1:8" x14ac:dyDescent="0.3">
      <c r="A685" s="1">
        <v>45810</v>
      </c>
      <c r="B685">
        <v>4</v>
      </c>
      <c r="C685">
        <v>4</v>
      </c>
      <c r="D685">
        <v>14</v>
      </c>
      <c r="E685">
        <v>4642</v>
      </c>
      <c r="F685">
        <v>4</v>
      </c>
      <c r="G685" t="s">
        <v>354</v>
      </c>
      <c r="H685">
        <f>TIMEVALUE(SUBSTITUTE(SUBSTITUTE(_5__DAILY_USAGE_TREND[[#This Row],[TOTAL_DURATION]],"hour",":"),"min",""))</f>
        <v>0.36249999999999999</v>
      </c>
    </row>
    <row r="686" spans="1:8" x14ac:dyDescent="0.3">
      <c r="A686" s="1">
        <v>45811</v>
      </c>
      <c r="B686">
        <v>8</v>
      </c>
      <c r="C686">
        <v>6</v>
      </c>
      <c r="D686">
        <v>17</v>
      </c>
      <c r="E686">
        <v>7433</v>
      </c>
      <c r="F686">
        <v>8</v>
      </c>
      <c r="G686" t="s">
        <v>582</v>
      </c>
      <c r="H686">
        <f>TIMEVALUE(SUBSTITUTE(SUBSTITUTE(_5__DAILY_USAGE_TREND[[#This Row],[TOTAL_DURATION]],"hour",":"),"min",""))</f>
        <v>0.67361111111111116</v>
      </c>
    </row>
    <row r="687" spans="1:8" x14ac:dyDescent="0.3">
      <c r="A687" s="1">
        <v>45812</v>
      </c>
      <c r="B687">
        <v>12</v>
      </c>
      <c r="C687">
        <v>9</v>
      </c>
      <c r="D687">
        <v>25</v>
      </c>
      <c r="E687">
        <v>8612</v>
      </c>
      <c r="F687">
        <v>12</v>
      </c>
      <c r="G687" t="s">
        <v>583</v>
      </c>
      <c r="H687">
        <f>TIMEVALUE(SUBSTITUTE(SUBSTITUTE(_5__DAILY_USAGE_TREND[[#This Row],[TOTAL_DURATION]],"hour",":"),"min",""))</f>
        <v>0.7861111111111112</v>
      </c>
    </row>
    <row r="688" spans="1:8" x14ac:dyDescent="0.3">
      <c r="A688" s="1">
        <v>45813</v>
      </c>
      <c r="B688">
        <v>4</v>
      </c>
      <c r="C688">
        <v>3</v>
      </c>
      <c r="D688">
        <v>8</v>
      </c>
      <c r="E688">
        <v>3538</v>
      </c>
      <c r="F688">
        <v>4</v>
      </c>
      <c r="G688" t="s">
        <v>584</v>
      </c>
      <c r="H688">
        <f>TIMEVALUE(SUBSTITUTE(SUBSTITUTE(_5__DAILY_USAGE_TREND[[#This Row],[TOTAL_DURATION]],"hour",":"),"min",""))</f>
        <v>0.11805555555555558</v>
      </c>
    </row>
    <row r="689" spans="1:8" x14ac:dyDescent="0.3">
      <c r="A689" s="1">
        <v>45814</v>
      </c>
      <c r="B689">
        <v>9</v>
      </c>
      <c r="C689">
        <v>6</v>
      </c>
      <c r="D689">
        <v>21</v>
      </c>
      <c r="E689">
        <v>7445</v>
      </c>
      <c r="F689">
        <v>9</v>
      </c>
      <c r="G689" t="s">
        <v>585</v>
      </c>
      <c r="H689">
        <f>TIMEVALUE(SUBSTITUTE(SUBSTITUTE(_5__DAILY_USAGE_TREND[[#This Row],[TOTAL_DURATION]],"hour",":"),"min",""))</f>
        <v>0.96388888888888902</v>
      </c>
    </row>
    <row r="690" spans="1:8" x14ac:dyDescent="0.3">
      <c r="A690" s="1">
        <v>45815</v>
      </c>
      <c r="B690">
        <v>7</v>
      </c>
      <c r="C690">
        <v>5</v>
      </c>
      <c r="D690">
        <v>19</v>
      </c>
      <c r="E690">
        <v>7089</v>
      </c>
      <c r="F690">
        <v>7</v>
      </c>
      <c r="G690" t="s">
        <v>586</v>
      </c>
      <c r="H690">
        <f>TIMEVALUE(SUBSTITUTE(SUBSTITUTE(_5__DAILY_USAGE_TREND[[#This Row],[TOTAL_DURATION]],"hour",":"),"min",""))</f>
        <v>1.2499999999999956E-2</v>
      </c>
    </row>
    <row r="691" spans="1:8" x14ac:dyDescent="0.3">
      <c r="A691" s="1">
        <v>45816</v>
      </c>
      <c r="B691">
        <v>5</v>
      </c>
      <c r="C691">
        <v>5</v>
      </c>
      <c r="D691">
        <v>9</v>
      </c>
      <c r="E691">
        <v>3467</v>
      </c>
      <c r="F691">
        <v>5</v>
      </c>
      <c r="G691" t="s">
        <v>333</v>
      </c>
      <c r="H691">
        <f>TIMEVALUE(SUBSTITUTE(SUBSTITUTE(_5__DAILY_USAGE_TREND[[#This Row],[TOTAL_DURATION]],"hour",":"),"min",""))</f>
        <v>0.26041666666666669</v>
      </c>
    </row>
    <row r="692" spans="1:8" x14ac:dyDescent="0.3">
      <c r="A692" s="1">
        <v>45817</v>
      </c>
      <c r="B692">
        <v>2</v>
      </c>
      <c r="C692">
        <v>2</v>
      </c>
      <c r="D692">
        <v>6</v>
      </c>
      <c r="E692">
        <v>2374</v>
      </c>
      <c r="F692">
        <v>2</v>
      </c>
      <c r="G692" t="s">
        <v>133</v>
      </c>
      <c r="H692">
        <f>TIMEVALUE(SUBSTITUTE(SUBSTITUTE(_5__DAILY_USAGE_TREND[[#This Row],[TOTAL_DURATION]],"hour",":"),"min",""))</f>
        <v>0.15555555555555556</v>
      </c>
    </row>
    <row r="693" spans="1:8" x14ac:dyDescent="0.3">
      <c r="A693" s="1">
        <v>45818</v>
      </c>
      <c r="B693">
        <v>4</v>
      </c>
      <c r="C693">
        <v>3</v>
      </c>
      <c r="D693">
        <v>6</v>
      </c>
      <c r="E693">
        <v>1710</v>
      </c>
      <c r="F693">
        <v>4</v>
      </c>
      <c r="G693" t="s">
        <v>435</v>
      </c>
      <c r="H693">
        <f>TIMEVALUE(SUBSTITUTE(SUBSTITUTE(_5__DAILY_USAGE_TREND[[#This Row],[TOTAL_DURATION]],"hour",":"),"min",""))</f>
        <v>0.22569444444444445</v>
      </c>
    </row>
    <row r="694" spans="1:8" x14ac:dyDescent="0.3">
      <c r="A694" s="1">
        <v>45819</v>
      </c>
      <c r="B694">
        <v>8</v>
      </c>
      <c r="C694">
        <v>6</v>
      </c>
      <c r="D694">
        <v>21</v>
      </c>
      <c r="E694">
        <v>6626</v>
      </c>
      <c r="F694">
        <v>8</v>
      </c>
      <c r="G694" t="s">
        <v>587</v>
      </c>
      <c r="H694">
        <f>TIMEVALUE(SUBSTITUTE(SUBSTITUTE(_5__DAILY_USAGE_TREND[[#This Row],[TOTAL_DURATION]],"hour",":"),"min",""))</f>
        <v>0.24305555555555536</v>
      </c>
    </row>
    <row r="695" spans="1:8" x14ac:dyDescent="0.3">
      <c r="A695" s="1">
        <v>45820</v>
      </c>
      <c r="B695">
        <v>10</v>
      </c>
      <c r="C695">
        <v>6</v>
      </c>
      <c r="D695">
        <v>15</v>
      </c>
      <c r="E695">
        <v>4775</v>
      </c>
      <c r="F695">
        <v>10</v>
      </c>
      <c r="G695" t="s">
        <v>588</v>
      </c>
      <c r="H695">
        <f>TIMEVALUE(SUBSTITUTE(SUBSTITUTE(_5__DAILY_USAGE_TREND[[#This Row],[TOTAL_DURATION]],"hour",":"),"min",""))</f>
        <v>0.22847222222222219</v>
      </c>
    </row>
    <row r="696" spans="1:8" x14ac:dyDescent="0.3">
      <c r="A696" s="1">
        <v>45821</v>
      </c>
      <c r="B696">
        <v>6</v>
      </c>
      <c r="C696">
        <v>6</v>
      </c>
      <c r="D696">
        <v>11</v>
      </c>
      <c r="E696">
        <v>4006</v>
      </c>
      <c r="F696">
        <v>6</v>
      </c>
      <c r="G696" t="s">
        <v>488</v>
      </c>
      <c r="H696">
        <f>TIMEVALUE(SUBSTITUTE(SUBSTITUTE(_5__DAILY_USAGE_TREND[[#This Row],[TOTAL_DURATION]],"hour",":"),"min",""))</f>
        <v>0.33611111111111114</v>
      </c>
    </row>
    <row r="697" spans="1:8" x14ac:dyDescent="0.3">
      <c r="A697" s="1">
        <v>45822</v>
      </c>
      <c r="B697">
        <v>9</v>
      </c>
      <c r="C697">
        <v>6</v>
      </c>
      <c r="D697">
        <v>27</v>
      </c>
      <c r="E697">
        <v>8366</v>
      </c>
      <c r="F697">
        <v>9</v>
      </c>
      <c r="G697" t="s">
        <v>589</v>
      </c>
      <c r="H697">
        <f>TIMEVALUE(SUBSTITUTE(SUBSTITUTE(_5__DAILY_USAGE_TREND[[#This Row],[TOTAL_DURATION]],"hour",":"),"min",""))</f>
        <v>0.36180555555555571</v>
      </c>
    </row>
    <row r="698" spans="1:8" x14ac:dyDescent="0.3">
      <c r="A698" s="1">
        <v>45823</v>
      </c>
      <c r="B698">
        <v>4</v>
      </c>
      <c r="C698">
        <v>3</v>
      </c>
      <c r="D698">
        <v>9</v>
      </c>
      <c r="E698">
        <v>3244</v>
      </c>
      <c r="F698">
        <v>4</v>
      </c>
      <c r="G698" t="s">
        <v>590</v>
      </c>
      <c r="H698">
        <f>TIMEVALUE(SUBSTITUTE(SUBSTITUTE(_5__DAILY_USAGE_TREND[[#This Row],[TOTAL_DURATION]],"hour",":"),"min",""))</f>
        <v>0.37986111111111109</v>
      </c>
    </row>
    <row r="699" spans="1:8" x14ac:dyDescent="0.3">
      <c r="A699" s="1">
        <v>45824</v>
      </c>
      <c r="B699">
        <v>5</v>
      </c>
      <c r="C699">
        <v>5</v>
      </c>
      <c r="D699">
        <v>10</v>
      </c>
      <c r="E699">
        <v>3591</v>
      </c>
      <c r="F699">
        <v>5</v>
      </c>
      <c r="G699" t="s">
        <v>591</v>
      </c>
      <c r="H699">
        <f>TIMEVALUE(SUBSTITUTE(SUBSTITUTE(_5__DAILY_USAGE_TREND[[#This Row],[TOTAL_DURATION]],"hour",":"),"min",""))</f>
        <v>0.52569444444444446</v>
      </c>
    </row>
    <row r="700" spans="1:8" x14ac:dyDescent="0.3">
      <c r="A700" s="1">
        <v>45825</v>
      </c>
      <c r="B700">
        <v>9</v>
      </c>
      <c r="C700">
        <v>6</v>
      </c>
      <c r="D700">
        <v>25</v>
      </c>
      <c r="E700">
        <v>8529</v>
      </c>
      <c r="F700">
        <v>9</v>
      </c>
      <c r="G700" t="s">
        <v>592</v>
      </c>
      <c r="H700">
        <f>TIMEVALUE(SUBSTITUTE(SUBSTITUTE(_5__DAILY_USAGE_TREND[[#This Row],[TOTAL_DURATION]],"hour",":"),"min",""))</f>
        <v>0.83472222222222225</v>
      </c>
    </row>
    <row r="701" spans="1:8" x14ac:dyDescent="0.3">
      <c r="A701" s="1">
        <v>45826</v>
      </c>
      <c r="B701">
        <v>7</v>
      </c>
      <c r="C701">
        <v>7</v>
      </c>
      <c r="D701">
        <v>19</v>
      </c>
      <c r="E701">
        <v>5337</v>
      </c>
      <c r="F701">
        <v>7</v>
      </c>
      <c r="G701" t="s">
        <v>593</v>
      </c>
      <c r="H701">
        <f>TIMEVALUE(SUBSTITUTE(SUBSTITUTE(_5__DAILY_USAGE_TREND[[#This Row],[TOTAL_DURATION]],"hour",":"),"min",""))</f>
        <v>0.31458333333333344</v>
      </c>
    </row>
    <row r="702" spans="1:8" x14ac:dyDescent="0.3">
      <c r="A702" s="1">
        <v>45827</v>
      </c>
      <c r="B702">
        <v>6</v>
      </c>
      <c r="C702">
        <v>4</v>
      </c>
      <c r="D702">
        <v>12</v>
      </c>
      <c r="E702">
        <v>4016</v>
      </c>
      <c r="F702">
        <v>6</v>
      </c>
      <c r="G702" t="s">
        <v>594</v>
      </c>
      <c r="H702">
        <f>TIMEVALUE(SUBSTITUTE(SUBSTITUTE(_5__DAILY_USAGE_TREND[[#This Row],[TOTAL_DURATION]],"hour",":"),"min",""))</f>
        <v>0.69305555555555554</v>
      </c>
    </row>
    <row r="703" spans="1:8" x14ac:dyDescent="0.3">
      <c r="A703" s="1">
        <v>45828</v>
      </c>
      <c r="B703">
        <v>5</v>
      </c>
      <c r="C703">
        <v>4</v>
      </c>
      <c r="D703">
        <v>13</v>
      </c>
      <c r="E703">
        <v>4457</v>
      </c>
      <c r="F703">
        <v>5</v>
      </c>
      <c r="G703" t="s">
        <v>552</v>
      </c>
      <c r="H703">
        <f>TIMEVALUE(SUBSTITUTE(SUBSTITUTE(_5__DAILY_USAGE_TREND[[#This Row],[TOTAL_DURATION]],"hour",":"),"min",""))</f>
        <v>0.67013888888888884</v>
      </c>
    </row>
    <row r="704" spans="1:8" x14ac:dyDescent="0.3">
      <c r="A704" s="1">
        <v>45829</v>
      </c>
      <c r="B704">
        <v>8</v>
      </c>
      <c r="C704">
        <v>5</v>
      </c>
      <c r="D704">
        <v>19</v>
      </c>
      <c r="E704">
        <v>6449</v>
      </c>
      <c r="F704">
        <v>8</v>
      </c>
      <c r="G704" t="s">
        <v>595</v>
      </c>
      <c r="H704">
        <f>TIMEVALUE(SUBSTITUTE(SUBSTITUTE(_5__DAILY_USAGE_TREND[[#This Row],[TOTAL_DURATION]],"hour",":"),"min",""))</f>
        <v>0.51180555555555551</v>
      </c>
    </row>
    <row r="705" spans="1:8" x14ac:dyDescent="0.3">
      <c r="A705" s="1">
        <v>45830</v>
      </c>
      <c r="B705">
        <v>9</v>
      </c>
      <c r="C705">
        <v>7</v>
      </c>
      <c r="D705">
        <v>20</v>
      </c>
      <c r="E705">
        <v>7773</v>
      </c>
      <c r="F705">
        <v>9</v>
      </c>
      <c r="G705" t="s">
        <v>437</v>
      </c>
      <c r="H705">
        <f>TIMEVALUE(SUBSTITUTE(SUBSTITUTE(_5__DAILY_USAGE_TREND[[#This Row],[TOTAL_DURATION]],"hour",":"),"min",""))</f>
        <v>0.97986111111111107</v>
      </c>
    </row>
    <row r="706" spans="1:8" x14ac:dyDescent="0.3">
      <c r="A706" s="1">
        <v>45831</v>
      </c>
      <c r="B706">
        <v>6</v>
      </c>
      <c r="C706">
        <v>5</v>
      </c>
      <c r="D706">
        <v>16</v>
      </c>
      <c r="E706">
        <v>6797</v>
      </c>
      <c r="F706">
        <v>6</v>
      </c>
      <c r="G706" t="s">
        <v>279</v>
      </c>
      <c r="H706">
        <f>TIMEVALUE(SUBSTITUTE(SUBSTITUTE(_5__DAILY_USAGE_TREND[[#This Row],[TOTAL_DURATION]],"hour",":"),"min",""))</f>
        <v>0.70625000000000004</v>
      </c>
    </row>
    <row r="707" spans="1:8" x14ac:dyDescent="0.3">
      <c r="A707" s="1">
        <v>45832</v>
      </c>
      <c r="B707">
        <v>11</v>
      </c>
      <c r="C707">
        <v>5</v>
      </c>
      <c r="D707">
        <v>29</v>
      </c>
      <c r="E707">
        <v>9808</v>
      </c>
      <c r="F707">
        <v>11</v>
      </c>
      <c r="G707" t="s">
        <v>596</v>
      </c>
      <c r="H707">
        <f>TIMEVALUE(SUBSTITUTE(SUBSTITUTE(_5__DAILY_USAGE_TREND[[#This Row],[TOTAL_DURATION]],"hour",":"),"min",""))</f>
        <v>0.22777777777777786</v>
      </c>
    </row>
    <row r="708" spans="1:8" x14ac:dyDescent="0.3">
      <c r="A708" s="1">
        <v>45833</v>
      </c>
      <c r="B708">
        <v>6</v>
      </c>
      <c r="C708">
        <v>4</v>
      </c>
      <c r="D708">
        <v>21</v>
      </c>
      <c r="E708">
        <v>6599</v>
      </c>
      <c r="F708">
        <v>6</v>
      </c>
      <c r="G708" t="s">
        <v>597</v>
      </c>
      <c r="H708">
        <f>TIMEVALUE(SUBSTITUTE(SUBSTITUTE(_5__DAILY_USAGE_TREND[[#This Row],[TOTAL_DURATION]],"hour",":"),"min",""))</f>
        <v>0.42708333333333326</v>
      </c>
    </row>
    <row r="709" spans="1:8" x14ac:dyDescent="0.3">
      <c r="A709" s="1">
        <v>45834</v>
      </c>
      <c r="B709">
        <v>2</v>
      </c>
      <c r="C709">
        <v>2</v>
      </c>
      <c r="D709">
        <v>3</v>
      </c>
      <c r="E709">
        <v>991</v>
      </c>
      <c r="F709">
        <v>2</v>
      </c>
      <c r="G709" t="s">
        <v>598</v>
      </c>
      <c r="H709">
        <f>TIMEVALUE(SUBSTITUTE(SUBSTITUTE(_5__DAILY_USAGE_TREND[[#This Row],[TOTAL_DURATION]],"hour",":"),"min",""))</f>
        <v>0.75</v>
      </c>
    </row>
    <row r="710" spans="1:8" x14ac:dyDescent="0.3">
      <c r="A710" s="1">
        <v>45835</v>
      </c>
      <c r="B710">
        <v>3</v>
      </c>
      <c r="C710">
        <v>3</v>
      </c>
      <c r="D710">
        <v>3</v>
      </c>
      <c r="E710">
        <v>1161</v>
      </c>
      <c r="F710">
        <v>3</v>
      </c>
      <c r="G710" t="s">
        <v>599</v>
      </c>
      <c r="H710">
        <f>TIMEVALUE(SUBSTITUTE(SUBSTITUTE(_5__DAILY_USAGE_TREND[[#This Row],[TOTAL_DURATION]],"hour",":"),"min",""))</f>
        <v>3.3333333333333333E-2</v>
      </c>
    </row>
    <row r="711" spans="1:8" x14ac:dyDescent="0.3">
      <c r="A711" s="1">
        <v>45836</v>
      </c>
      <c r="B711">
        <v>5</v>
      </c>
      <c r="C711">
        <v>4</v>
      </c>
      <c r="D711">
        <v>17</v>
      </c>
      <c r="E711">
        <v>6021</v>
      </c>
      <c r="F711">
        <v>5</v>
      </c>
      <c r="G711" t="s">
        <v>187</v>
      </c>
      <c r="H711">
        <f>TIMEVALUE(SUBSTITUTE(SUBSTITUTE(_5__DAILY_USAGE_TREND[[#This Row],[TOTAL_DURATION]],"hour",":"),"min",""))</f>
        <v>0.54166666666666663</v>
      </c>
    </row>
    <row r="712" spans="1:8" x14ac:dyDescent="0.3">
      <c r="A712" s="1">
        <v>45837</v>
      </c>
      <c r="B712">
        <v>4</v>
      </c>
      <c r="C712">
        <v>4</v>
      </c>
      <c r="D712">
        <v>9</v>
      </c>
      <c r="E712">
        <v>3389</v>
      </c>
      <c r="F712">
        <v>4</v>
      </c>
      <c r="G712" t="s">
        <v>600</v>
      </c>
      <c r="H712">
        <f>TIMEVALUE(SUBSTITUTE(SUBSTITUTE(_5__DAILY_USAGE_TREND[[#This Row],[TOTAL_DURATION]],"hour",":"),"min",""))</f>
        <v>0.35902777777777778</v>
      </c>
    </row>
    <row r="713" spans="1:8" x14ac:dyDescent="0.3">
      <c r="A713" s="1">
        <v>45838</v>
      </c>
      <c r="B713">
        <v>4</v>
      </c>
      <c r="C713">
        <v>3</v>
      </c>
      <c r="D713">
        <v>8</v>
      </c>
      <c r="E713">
        <v>2234</v>
      </c>
      <c r="F713">
        <v>4</v>
      </c>
      <c r="G713" t="s">
        <v>601</v>
      </c>
      <c r="H713">
        <f>TIMEVALUE(SUBSTITUTE(SUBSTITUTE(_5__DAILY_USAGE_TREND[[#This Row],[TOTAL_DURATION]],"hour",":"),"min",""))</f>
        <v>0.24861111111111112</v>
      </c>
    </row>
    <row r="714" spans="1:8" x14ac:dyDescent="0.3">
      <c r="A714" s="1">
        <v>45839</v>
      </c>
      <c r="B714">
        <v>4</v>
      </c>
      <c r="C714">
        <v>3</v>
      </c>
      <c r="D714">
        <v>10</v>
      </c>
      <c r="E714">
        <v>4144</v>
      </c>
      <c r="F714">
        <v>4</v>
      </c>
      <c r="G714" t="s">
        <v>602</v>
      </c>
      <c r="H714">
        <f>TIMEVALUE(SUBSTITUTE(SUBSTITUTE(_5__DAILY_USAGE_TREND[[#This Row],[TOTAL_DURATION]],"hour",":"),"min",""))</f>
        <v>0.57986111111111116</v>
      </c>
    </row>
    <row r="715" spans="1:8" x14ac:dyDescent="0.3">
      <c r="A715" s="1">
        <v>45840</v>
      </c>
      <c r="B715">
        <v>6</v>
      </c>
      <c r="C715">
        <v>4</v>
      </c>
      <c r="D715">
        <v>12</v>
      </c>
      <c r="E715">
        <v>3957</v>
      </c>
      <c r="F715">
        <v>6</v>
      </c>
      <c r="G715" t="s">
        <v>603</v>
      </c>
      <c r="H715">
        <f>TIMEVALUE(SUBSTITUTE(SUBSTITUTE(_5__DAILY_USAGE_TREND[[#This Row],[TOTAL_DURATION]],"hour",":"),"min",""))</f>
        <v>0.34444444444444455</v>
      </c>
    </row>
    <row r="716" spans="1:8" x14ac:dyDescent="0.3">
      <c r="A716" s="1">
        <v>45841</v>
      </c>
      <c r="B716">
        <v>10</v>
      </c>
      <c r="C716">
        <v>6</v>
      </c>
      <c r="D716">
        <v>26</v>
      </c>
      <c r="E716">
        <v>11124</v>
      </c>
      <c r="F716">
        <v>10</v>
      </c>
      <c r="G716" t="s">
        <v>604</v>
      </c>
      <c r="H716">
        <f>TIMEVALUE(SUBSTITUTE(SUBSTITUTE(_5__DAILY_USAGE_TREND[[#This Row],[TOTAL_DURATION]],"hour",":"),"min",""))</f>
        <v>0.67013888888888884</v>
      </c>
    </row>
    <row r="717" spans="1:8" x14ac:dyDescent="0.3">
      <c r="A717" s="1">
        <v>45842</v>
      </c>
      <c r="B717">
        <v>6</v>
      </c>
      <c r="C717">
        <v>6</v>
      </c>
      <c r="D717">
        <v>18</v>
      </c>
      <c r="E717">
        <v>6307</v>
      </c>
      <c r="F717">
        <v>6</v>
      </c>
      <c r="G717" t="s">
        <v>605</v>
      </c>
      <c r="H717">
        <f>TIMEVALUE(SUBSTITUTE(SUBSTITUTE(_5__DAILY_USAGE_TREND[[#This Row],[TOTAL_DURATION]],"hour",":"),"min",""))</f>
        <v>0.8208333333333333</v>
      </c>
    </row>
    <row r="718" spans="1:8" x14ac:dyDescent="0.3">
      <c r="A718" s="1">
        <v>45843</v>
      </c>
      <c r="B718">
        <v>11</v>
      </c>
      <c r="C718">
        <v>7</v>
      </c>
      <c r="D718">
        <v>27</v>
      </c>
      <c r="E718">
        <v>8553</v>
      </c>
      <c r="F718">
        <v>11</v>
      </c>
      <c r="G718" t="s">
        <v>606</v>
      </c>
      <c r="H718">
        <f>TIMEVALUE(SUBSTITUTE(SUBSTITUTE(_5__DAILY_USAGE_TREND[[#This Row],[TOTAL_DURATION]],"hour",":"),"min",""))</f>
        <v>0.72569444444444442</v>
      </c>
    </row>
    <row r="719" spans="1:8" x14ac:dyDescent="0.3">
      <c r="A719" s="1">
        <v>45844</v>
      </c>
      <c r="B719">
        <v>7</v>
      </c>
      <c r="C719">
        <v>6</v>
      </c>
      <c r="D719">
        <v>17</v>
      </c>
      <c r="E719">
        <v>5129</v>
      </c>
      <c r="F719">
        <v>7</v>
      </c>
      <c r="G719" t="s">
        <v>469</v>
      </c>
      <c r="H719">
        <f>TIMEVALUE(SUBSTITUTE(SUBSTITUTE(_5__DAILY_USAGE_TREND[[#This Row],[TOTAL_DURATION]],"hour",":"),"min",""))</f>
        <v>0.35833333333333334</v>
      </c>
    </row>
    <row r="720" spans="1:8" x14ac:dyDescent="0.3">
      <c r="A720" s="1">
        <v>45845</v>
      </c>
      <c r="B720">
        <v>4</v>
      </c>
      <c r="C720">
        <v>3</v>
      </c>
      <c r="D720">
        <v>7</v>
      </c>
      <c r="E720">
        <v>2665</v>
      </c>
      <c r="F720">
        <v>4</v>
      </c>
      <c r="G720" t="s">
        <v>353</v>
      </c>
      <c r="H720">
        <f>TIMEVALUE(SUBSTITUTE(SUBSTITUTE(_5__DAILY_USAGE_TREND[[#This Row],[TOTAL_DURATION]],"hour",":"),"min",""))</f>
        <v>0.19930555555555557</v>
      </c>
    </row>
    <row r="721" spans="1:8" x14ac:dyDescent="0.3">
      <c r="A721" s="1">
        <v>45846</v>
      </c>
      <c r="B721">
        <v>5</v>
      </c>
      <c r="C721">
        <v>4</v>
      </c>
      <c r="D721">
        <v>13</v>
      </c>
      <c r="E721">
        <v>4886</v>
      </c>
      <c r="F721">
        <v>5</v>
      </c>
      <c r="G721" t="s">
        <v>607</v>
      </c>
      <c r="H721">
        <f>TIMEVALUE(SUBSTITUTE(SUBSTITUTE(_5__DAILY_USAGE_TREND[[#This Row],[TOTAL_DURATION]],"hour",":"),"min",""))</f>
        <v>0.92361111111111116</v>
      </c>
    </row>
    <row r="722" spans="1:8" x14ac:dyDescent="0.3">
      <c r="A722" s="1">
        <v>45847</v>
      </c>
      <c r="B722">
        <v>9</v>
      </c>
      <c r="C722">
        <v>6</v>
      </c>
      <c r="D722">
        <v>23</v>
      </c>
      <c r="E722">
        <v>8645</v>
      </c>
      <c r="F722">
        <v>9</v>
      </c>
      <c r="G722" t="s">
        <v>608</v>
      </c>
      <c r="H722">
        <f>TIMEVALUE(SUBSTITUTE(SUBSTITUTE(_5__DAILY_USAGE_TREND[[#This Row],[TOTAL_DURATION]],"hour",":"),"min",""))</f>
        <v>0.90347222222222223</v>
      </c>
    </row>
    <row r="723" spans="1:8" x14ac:dyDescent="0.3">
      <c r="A723" s="1">
        <v>45848</v>
      </c>
      <c r="B723">
        <v>3</v>
      </c>
      <c r="C723">
        <v>2</v>
      </c>
      <c r="D723">
        <v>6</v>
      </c>
      <c r="E723">
        <v>2007</v>
      </c>
      <c r="F723">
        <v>3</v>
      </c>
      <c r="G723" t="s">
        <v>144</v>
      </c>
      <c r="H723">
        <f>TIMEVALUE(SUBSTITUTE(SUBSTITUTE(_5__DAILY_USAGE_TREND[[#This Row],[TOTAL_DURATION]],"hour",":"),"min",""))</f>
        <v>0.10972222222222222</v>
      </c>
    </row>
    <row r="724" spans="1:8" x14ac:dyDescent="0.3">
      <c r="A724" s="1">
        <v>45849</v>
      </c>
      <c r="B724">
        <v>3</v>
      </c>
      <c r="C724">
        <v>3</v>
      </c>
      <c r="D724">
        <v>5</v>
      </c>
      <c r="E724">
        <v>1203</v>
      </c>
      <c r="F724">
        <v>3</v>
      </c>
      <c r="G724" t="s">
        <v>332</v>
      </c>
      <c r="H724">
        <f>TIMEVALUE(SUBSTITUTE(SUBSTITUTE(_5__DAILY_USAGE_TREND[[#This Row],[TOTAL_DURATION]],"hour",":"),"min",""))</f>
        <v>0.16041666666666668</v>
      </c>
    </row>
    <row r="725" spans="1:8" x14ac:dyDescent="0.3">
      <c r="A725" s="1">
        <v>45850</v>
      </c>
      <c r="B725">
        <v>5</v>
      </c>
      <c r="C725">
        <v>3</v>
      </c>
      <c r="D725">
        <v>8</v>
      </c>
      <c r="E725">
        <v>3018</v>
      </c>
      <c r="F725">
        <v>5</v>
      </c>
      <c r="G725" t="s">
        <v>609</v>
      </c>
      <c r="H725">
        <f>TIMEVALUE(SUBSTITUTE(SUBSTITUTE(_5__DAILY_USAGE_TREND[[#This Row],[TOTAL_DURATION]],"hour",":"),"min",""))</f>
        <v>0.33124999999999999</v>
      </c>
    </row>
    <row r="726" spans="1:8" x14ac:dyDescent="0.3">
      <c r="A726" s="1">
        <v>45851</v>
      </c>
      <c r="B726">
        <v>12</v>
      </c>
      <c r="C726">
        <v>6</v>
      </c>
      <c r="D726">
        <v>31</v>
      </c>
      <c r="E726">
        <v>12550</v>
      </c>
      <c r="F726">
        <v>12</v>
      </c>
      <c r="G726" t="s">
        <v>610</v>
      </c>
      <c r="H726">
        <f>TIMEVALUE(SUBSTITUTE(SUBSTITUTE(_5__DAILY_USAGE_TREND[[#This Row],[TOTAL_DURATION]],"hour",":"),"min",""))</f>
        <v>0.92222222222222228</v>
      </c>
    </row>
    <row r="727" spans="1:8" x14ac:dyDescent="0.3">
      <c r="A727" s="1">
        <v>45852</v>
      </c>
      <c r="B727">
        <v>4</v>
      </c>
      <c r="C727">
        <v>4</v>
      </c>
      <c r="D727">
        <v>6</v>
      </c>
      <c r="E727">
        <v>2383</v>
      </c>
      <c r="F727">
        <v>4</v>
      </c>
      <c r="G727" t="s">
        <v>101</v>
      </c>
      <c r="H727">
        <f>TIMEVALUE(SUBSTITUTE(SUBSTITUTE(_5__DAILY_USAGE_TREND[[#This Row],[TOTAL_DURATION]],"hour",":"),"min",""))</f>
        <v>0.24583333333333332</v>
      </c>
    </row>
    <row r="728" spans="1:8" x14ac:dyDescent="0.3">
      <c r="A728" s="1">
        <v>45853</v>
      </c>
      <c r="B728">
        <v>8</v>
      </c>
      <c r="C728">
        <v>6</v>
      </c>
      <c r="D728">
        <v>21</v>
      </c>
      <c r="E728">
        <v>9406</v>
      </c>
      <c r="F728">
        <v>8</v>
      </c>
      <c r="G728" t="s">
        <v>611</v>
      </c>
      <c r="H728">
        <f>TIMEVALUE(SUBSTITUTE(SUBSTITUTE(_5__DAILY_USAGE_TREND[[#This Row],[TOTAL_DURATION]],"hour",":"),"min",""))</f>
        <v>0.68055555555555558</v>
      </c>
    </row>
    <row r="729" spans="1:8" x14ac:dyDescent="0.3">
      <c r="A729" s="1">
        <v>45854</v>
      </c>
      <c r="B729">
        <v>6</v>
      </c>
      <c r="C729">
        <v>5</v>
      </c>
      <c r="D729">
        <v>12</v>
      </c>
      <c r="E729">
        <v>4236</v>
      </c>
      <c r="F729">
        <v>6</v>
      </c>
      <c r="G729" t="s">
        <v>612</v>
      </c>
      <c r="H729">
        <f>TIMEVALUE(SUBSTITUTE(SUBSTITUTE(_5__DAILY_USAGE_TREND[[#This Row],[TOTAL_DURATION]],"hour",":"),"min",""))</f>
        <v>0.96666666666666667</v>
      </c>
    </row>
    <row r="730" spans="1:8" x14ac:dyDescent="0.3">
      <c r="A730" s="1">
        <v>45855</v>
      </c>
      <c r="B730">
        <v>11</v>
      </c>
      <c r="C730">
        <v>5</v>
      </c>
      <c r="D730">
        <v>24</v>
      </c>
      <c r="E730">
        <v>7905</v>
      </c>
      <c r="F730">
        <v>11</v>
      </c>
      <c r="G730" t="s">
        <v>613</v>
      </c>
      <c r="H730">
        <f>TIMEVALUE(SUBSTITUTE(SUBSTITUTE(_5__DAILY_USAGE_TREND[[#This Row],[TOTAL_DURATION]],"hour",":"),"min",""))</f>
        <v>0.20972222222222214</v>
      </c>
    </row>
    <row r="731" spans="1:8" x14ac:dyDescent="0.3">
      <c r="A731" s="1">
        <v>45856</v>
      </c>
      <c r="B731">
        <v>5</v>
      </c>
      <c r="C731">
        <v>4</v>
      </c>
      <c r="D731">
        <v>9</v>
      </c>
      <c r="E731">
        <v>2965</v>
      </c>
      <c r="F731">
        <v>5</v>
      </c>
      <c r="G731" t="s">
        <v>421</v>
      </c>
      <c r="H731">
        <f>TIMEVALUE(SUBSTITUTE(SUBSTITUTE(_5__DAILY_USAGE_TREND[[#This Row],[TOTAL_DURATION]],"hour",":"),"min",""))</f>
        <v>0.2361111111111111</v>
      </c>
    </row>
    <row r="732" spans="1:8" x14ac:dyDescent="0.3">
      <c r="A732" s="1">
        <v>45857</v>
      </c>
      <c r="B732">
        <v>7</v>
      </c>
      <c r="C732">
        <v>7</v>
      </c>
      <c r="D732">
        <v>16</v>
      </c>
      <c r="E732">
        <v>6619</v>
      </c>
      <c r="F732">
        <v>7</v>
      </c>
      <c r="G732" t="s">
        <v>614</v>
      </c>
      <c r="H732">
        <f>TIMEVALUE(SUBSTITUTE(SUBSTITUTE(_5__DAILY_USAGE_TREND[[#This Row],[TOTAL_DURATION]],"hour",":"),"min",""))</f>
        <v>0.83819444444444446</v>
      </c>
    </row>
    <row r="733" spans="1:8" x14ac:dyDescent="0.3">
      <c r="A733" s="1">
        <v>45858</v>
      </c>
      <c r="B733">
        <v>5</v>
      </c>
      <c r="C733">
        <v>3</v>
      </c>
      <c r="D733">
        <v>7</v>
      </c>
      <c r="E733">
        <v>2054</v>
      </c>
      <c r="F733">
        <v>5</v>
      </c>
      <c r="G733" t="s">
        <v>615</v>
      </c>
      <c r="H733">
        <f>TIMEVALUE(SUBSTITUTE(SUBSTITUTE(_5__DAILY_USAGE_TREND[[#This Row],[TOTAL_DURATION]],"hour",":"),"min",""))</f>
        <v>0.37916666666666665</v>
      </c>
    </row>
    <row r="734" spans="1:8" x14ac:dyDescent="0.3">
      <c r="A734" s="1">
        <v>45859</v>
      </c>
      <c r="B734">
        <v>3</v>
      </c>
      <c r="C734">
        <v>1</v>
      </c>
      <c r="D734">
        <v>6</v>
      </c>
      <c r="E734">
        <v>1790</v>
      </c>
      <c r="F734">
        <v>3</v>
      </c>
      <c r="G734" t="s">
        <v>616</v>
      </c>
      <c r="H734">
        <f>TIMEVALUE(SUBSTITUTE(SUBSTITUTE(_5__DAILY_USAGE_TREND[[#This Row],[TOTAL_DURATION]],"hour",":"),"min",""))</f>
        <v>0.10138888888888889</v>
      </c>
    </row>
    <row r="735" spans="1:8" x14ac:dyDescent="0.3">
      <c r="A735" s="1">
        <v>45860</v>
      </c>
      <c r="B735">
        <v>8</v>
      </c>
      <c r="C735">
        <v>6</v>
      </c>
      <c r="D735">
        <v>21</v>
      </c>
      <c r="E735">
        <v>7965</v>
      </c>
      <c r="F735">
        <v>8</v>
      </c>
      <c r="G735" t="s">
        <v>617</v>
      </c>
      <c r="H735">
        <f>TIMEVALUE(SUBSTITUTE(SUBSTITUTE(_5__DAILY_USAGE_TREND[[#This Row],[TOTAL_DURATION]],"hour",":"),"min",""))</f>
        <v>0.61944444444444446</v>
      </c>
    </row>
    <row r="736" spans="1:8" x14ac:dyDescent="0.3">
      <c r="A736" s="1">
        <v>45861</v>
      </c>
      <c r="B736">
        <v>8</v>
      </c>
      <c r="C736">
        <v>6</v>
      </c>
      <c r="D736">
        <v>16</v>
      </c>
      <c r="E736">
        <v>6042</v>
      </c>
      <c r="F736">
        <v>8</v>
      </c>
      <c r="G736" t="s">
        <v>618</v>
      </c>
      <c r="H736">
        <f>TIMEVALUE(SUBSTITUTE(SUBSTITUTE(_5__DAILY_USAGE_TREND[[#This Row],[TOTAL_DURATION]],"hour",":"),"min",""))</f>
        <v>0.70486111111111116</v>
      </c>
    </row>
    <row r="737" spans="1:8" x14ac:dyDescent="0.3">
      <c r="A737" s="1">
        <v>45862</v>
      </c>
      <c r="B737">
        <v>6</v>
      </c>
      <c r="C737">
        <v>5</v>
      </c>
      <c r="D737">
        <v>12</v>
      </c>
      <c r="E737">
        <v>3286</v>
      </c>
      <c r="F737">
        <v>6</v>
      </c>
      <c r="G737" t="s">
        <v>619</v>
      </c>
      <c r="H737">
        <f>TIMEVALUE(SUBSTITUTE(SUBSTITUTE(_5__DAILY_USAGE_TREND[[#This Row],[TOTAL_DURATION]],"hour",":"),"min",""))</f>
        <v>0.33958333333333335</v>
      </c>
    </row>
    <row r="738" spans="1:8" x14ac:dyDescent="0.3">
      <c r="A738" s="1">
        <v>45863</v>
      </c>
      <c r="B738">
        <v>7</v>
      </c>
      <c r="C738">
        <v>6</v>
      </c>
      <c r="D738">
        <v>14</v>
      </c>
      <c r="E738">
        <v>5045</v>
      </c>
      <c r="F738">
        <v>7</v>
      </c>
      <c r="G738" t="s">
        <v>620</v>
      </c>
      <c r="H738">
        <f>TIMEVALUE(SUBSTITUTE(SUBSTITUTE(_5__DAILY_USAGE_TREND[[#This Row],[TOTAL_DURATION]],"hour",":"),"min",""))</f>
        <v>0.87083333333333335</v>
      </c>
    </row>
    <row r="739" spans="1:8" x14ac:dyDescent="0.3">
      <c r="A739" s="1">
        <v>45864</v>
      </c>
      <c r="B739">
        <v>6</v>
      </c>
      <c r="C739">
        <v>4</v>
      </c>
      <c r="D739">
        <v>15</v>
      </c>
      <c r="E739">
        <v>6354</v>
      </c>
      <c r="F739">
        <v>6</v>
      </c>
      <c r="G739" t="s">
        <v>538</v>
      </c>
      <c r="H739">
        <f>TIMEVALUE(SUBSTITUTE(SUBSTITUTE(_5__DAILY_USAGE_TREND[[#This Row],[TOTAL_DURATION]],"hour",":"),"min",""))</f>
        <v>0.61736111111111114</v>
      </c>
    </row>
    <row r="740" spans="1:8" x14ac:dyDescent="0.3">
      <c r="A740" s="1">
        <v>45865</v>
      </c>
      <c r="B740">
        <v>10</v>
      </c>
      <c r="C740">
        <v>6</v>
      </c>
      <c r="D740">
        <v>19</v>
      </c>
      <c r="E740">
        <v>6366</v>
      </c>
      <c r="F740">
        <v>10</v>
      </c>
      <c r="G740" t="s">
        <v>621</v>
      </c>
      <c r="H740">
        <f>TIMEVALUE(SUBSTITUTE(SUBSTITUTE(_5__DAILY_USAGE_TREND[[#This Row],[TOTAL_DURATION]],"hour",":"),"min",""))</f>
        <v>0.14999999999999991</v>
      </c>
    </row>
    <row r="741" spans="1:8" x14ac:dyDescent="0.3">
      <c r="A741" s="1">
        <v>45866</v>
      </c>
      <c r="B741">
        <v>4</v>
      </c>
      <c r="C741">
        <v>3</v>
      </c>
      <c r="D741">
        <v>10</v>
      </c>
      <c r="E741">
        <v>4337</v>
      </c>
      <c r="F741">
        <v>4</v>
      </c>
      <c r="G741" t="s">
        <v>622</v>
      </c>
      <c r="H741">
        <f>TIMEVALUE(SUBSTITUTE(SUBSTITUTE(_5__DAILY_USAGE_TREND[[#This Row],[TOTAL_DURATION]],"hour",":"),"min",""))</f>
        <v>0.50972222222222219</v>
      </c>
    </row>
    <row r="742" spans="1:8" x14ac:dyDescent="0.3">
      <c r="A742" s="1">
        <v>45867</v>
      </c>
      <c r="B742">
        <v>3</v>
      </c>
      <c r="C742">
        <v>3</v>
      </c>
      <c r="D742">
        <v>6</v>
      </c>
      <c r="E742">
        <v>1442</v>
      </c>
      <c r="F742">
        <v>3</v>
      </c>
      <c r="G742" t="s">
        <v>623</v>
      </c>
      <c r="H742">
        <f>TIMEVALUE(SUBSTITUTE(SUBSTITUTE(_5__DAILY_USAGE_TREND[[#This Row],[TOTAL_DURATION]],"hour",":"),"min",""))</f>
        <v>0.20277777777777778</v>
      </c>
    </row>
    <row r="743" spans="1:8" x14ac:dyDescent="0.3">
      <c r="A743" s="1">
        <v>45868</v>
      </c>
      <c r="B743">
        <v>5</v>
      </c>
      <c r="C743">
        <v>3</v>
      </c>
      <c r="D743">
        <v>7</v>
      </c>
      <c r="E743">
        <v>2152</v>
      </c>
      <c r="F743">
        <v>5</v>
      </c>
      <c r="G743" t="s">
        <v>624</v>
      </c>
      <c r="H743">
        <f>TIMEVALUE(SUBSTITUTE(SUBSTITUTE(_5__DAILY_USAGE_TREND[[#This Row],[TOTAL_DURATION]],"hour",":"),"min",""))</f>
        <v>0.45555555555555555</v>
      </c>
    </row>
    <row r="744" spans="1:8" x14ac:dyDescent="0.3">
      <c r="A744" s="1">
        <v>45869</v>
      </c>
      <c r="B744">
        <v>5</v>
      </c>
      <c r="C744">
        <v>4</v>
      </c>
      <c r="D744">
        <v>12</v>
      </c>
      <c r="E744">
        <v>3206</v>
      </c>
      <c r="F744">
        <v>5</v>
      </c>
      <c r="G744" t="s">
        <v>625</v>
      </c>
      <c r="H744">
        <f>TIMEVALUE(SUBSTITUTE(SUBSTITUTE(_5__DAILY_USAGE_TREND[[#This Row],[TOTAL_DURATION]],"hour",":"),"min",""))</f>
        <v>0.80763888888888891</v>
      </c>
    </row>
    <row r="745" spans="1:8" x14ac:dyDescent="0.3">
      <c r="A745" s="1">
        <v>45870</v>
      </c>
      <c r="B745">
        <v>3</v>
      </c>
      <c r="C745">
        <v>3</v>
      </c>
      <c r="D745">
        <v>4</v>
      </c>
      <c r="E745">
        <v>1637</v>
      </c>
      <c r="F745">
        <v>3</v>
      </c>
      <c r="G745" t="s">
        <v>626</v>
      </c>
      <c r="H745">
        <f>TIMEVALUE(SUBSTITUTE(SUBSTITUTE(_5__DAILY_USAGE_TREND[[#This Row],[TOTAL_DURATION]],"hour",":"),"min",""))</f>
        <v>0.50555555555555554</v>
      </c>
    </row>
    <row r="746" spans="1:8" x14ac:dyDescent="0.3">
      <c r="A746" s="1">
        <v>45871</v>
      </c>
      <c r="B746">
        <v>11</v>
      </c>
      <c r="C746">
        <v>8</v>
      </c>
      <c r="D746">
        <v>24</v>
      </c>
      <c r="E746">
        <v>8330</v>
      </c>
      <c r="F746">
        <v>11</v>
      </c>
      <c r="G746" t="s">
        <v>627</v>
      </c>
      <c r="H746">
        <f>TIMEVALUE(SUBSTITUTE(SUBSTITUTE(_5__DAILY_USAGE_TREND[[#This Row],[TOTAL_DURATION]],"hour",":"),"min",""))</f>
        <v>6.6666666666666874E-2</v>
      </c>
    </row>
    <row r="747" spans="1:8" x14ac:dyDescent="0.3">
      <c r="A747" s="1">
        <v>45872</v>
      </c>
      <c r="B747">
        <v>6</v>
      </c>
      <c r="C747">
        <v>4</v>
      </c>
      <c r="D747">
        <v>15</v>
      </c>
      <c r="E747">
        <v>4783</v>
      </c>
      <c r="F747">
        <v>6</v>
      </c>
      <c r="G747" t="s">
        <v>628</v>
      </c>
      <c r="H747">
        <f>TIMEVALUE(SUBSTITUTE(SUBSTITUTE(_5__DAILY_USAGE_TREND[[#This Row],[TOTAL_DURATION]],"hour",":"),"min",""))</f>
        <v>0.47569444444444442</v>
      </c>
    </row>
    <row r="748" spans="1:8" x14ac:dyDescent="0.3">
      <c r="A748" s="1">
        <v>45873</v>
      </c>
      <c r="B748">
        <v>12</v>
      </c>
      <c r="C748">
        <v>8</v>
      </c>
      <c r="D748">
        <v>26</v>
      </c>
      <c r="E748">
        <v>9454</v>
      </c>
      <c r="F748">
        <v>12</v>
      </c>
      <c r="G748" t="s">
        <v>629</v>
      </c>
      <c r="H748">
        <f>TIMEVALUE(SUBSTITUTE(SUBSTITUTE(_5__DAILY_USAGE_TREND[[#This Row],[TOTAL_DURATION]],"hour",":"),"min",""))</f>
        <v>0.61527777777777781</v>
      </c>
    </row>
    <row r="749" spans="1:8" x14ac:dyDescent="0.3">
      <c r="A749" s="1">
        <v>45874</v>
      </c>
      <c r="B749">
        <v>5</v>
      </c>
      <c r="C749">
        <v>5</v>
      </c>
      <c r="D749">
        <v>8</v>
      </c>
      <c r="E749">
        <v>3196</v>
      </c>
      <c r="F749">
        <v>5</v>
      </c>
      <c r="G749" t="s">
        <v>630</v>
      </c>
      <c r="H749">
        <f>TIMEVALUE(SUBSTITUTE(SUBSTITUTE(_5__DAILY_USAGE_TREND[[#This Row],[TOTAL_DURATION]],"hour",":"),"min",""))</f>
        <v>0.39513888888888893</v>
      </c>
    </row>
    <row r="750" spans="1:8" x14ac:dyDescent="0.3">
      <c r="A750" s="1">
        <v>45875</v>
      </c>
      <c r="B750">
        <v>3</v>
      </c>
      <c r="C750">
        <v>3</v>
      </c>
      <c r="D750">
        <v>7</v>
      </c>
      <c r="E750">
        <v>2648</v>
      </c>
      <c r="F750">
        <v>3</v>
      </c>
      <c r="G750" t="s">
        <v>110</v>
      </c>
      <c r="H750">
        <f>TIMEVALUE(SUBSTITUTE(SUBSTITUTE(_5__DAILY_USAGE_TREND[[#This Row],[TOTAL_DURATION]],"hour",":"),"min",""))</f>
        <v>0.5</v>
      </c>
    </row>
    <row r="751" spans="1:8" x14ac:dyDescent="0.3">
      <c r="A751" s="1">
        <v>45876</v>
      </c>
      <c r="B751">
        <v>6</v>
      </c>
      <c r="C751">
        <v>4</v>
      </c>
      <c r="D751">
        <v>15</v>
      </c>
      <c r="E751">
        <v>3738</v>
      </c>
      <c r="F751">
        <v>6</v>
      </c>
      <c r="G751" t="s">
        <v>631</v>
      </c>
      <c r="H751">
        <f>TIMEVALUE(SUBSTITUTE(SUBSTITUTE(_5__DAILY_USAGE_TREND[[#This Row],[TOTAL_DURATION]],"hour",":"),"min",""))</f>
        <v>0.35416666666666669</v>
      </c>
    </row>
    <row r="752" spans="1:8" x14ac:dyDescent="0.3">
      <c r="A752" s="1">
        <v>45877</v>
      </c>
      <c r="B752">
        <v>1</v>
      </c>
      <c r="C752">
        <v>1</v>
      </c>
      <c r="D752">
        <v>4</v>
      </c>
      <c r="E752">
        <v>814</v>
      </c>
      <c r="F752">
        <v>1</v>
      </c>
      <c r="G752" t="s">
        <v>632</v>
      </c>
      <c r="H752">
        <f>TIMEVALUE(SUBSTITUTE(SUBSTITUTE(_5__DAILY_USAGE_TREND[[#This Row],[TOTAL_DURATION]],"hour",":"),"min",""))</f>
        <v>0.6</v>
      </c>
    </row>
    <row r="753" spans="1:8" x14ac:dyDescent="0.3">
      <c r="A753" s="1">
        <v>45878</v>
      </c>
      <c r="B753">
        <v>10</v>
      </c>
      <c r="C753">
        <v>8</v>
      </c>
      <c r="D753">
        <v>23</v>
      </c>
      <c r="E753">
        <v>7331</v>
      </c>
      <c r="F753">
        <v>10</v>
      </c>
      <c r="G753" t="s">
        <v>633</v>
      </c>
      <c r="H753">
        <f>TIMEVALUE(SUBSTITUTE(SUBSTITUTE(_5__DAILY_USAGE_TREND[[#This Row],[TOTAL_DURATION]],"hour",":"),"min",""))</f>
        <v>0.26736111111111116</v>
      </c>
    </row>
    <row r="754" spans="1:8" x14ac:dyDescent="0.3">
      <c r="A754" s="1">
        <v>45879</v>
      </c>
      <c r="B754">
        <v>7</v>
      </c>
      <c r="C754">
        <v>7</v>
      </c>
      <c r="D754">
        <v>20</v>
      </c>
      <c r="E754">
        <v>7513</v>
      </c>
      <c r="F754">
        <v>7</v>
      </c>
      <c r="G754" t="s">
        <v>634</v>
      </c>
      <c r="H754">
        <f>TIMEVALUE(SUBSTITUTE(SUBSTITUTE(_5__DAILY_USAGE_TREND[[#This Row],[TOTAL_DURATION]],"hour",":"),"min",""))</f>
        <v>0.18611111111111112</v>
      </c>
    </row>
    <row r="755" spans="1:8" x14ac:dyDescent="0.3">
      <c r="A755" s="1">
        <v>45880</v>
      </c>
      <c r="B755">
        <v>5</v>
      </c>
      <c r="C755">
        <v>4</v>
      </c>
      <c r="D755">
        <v>13</v>
      </c>
      <c r="E755">
        <v>3346</v>
      </c>
      <c r="F755">
        <v>5</v>
      </c>
      <c r="G755" t="s">
        <v>427</v>
      </c>
      <c r="H755">
        <f>TIMEVALUE(SUBSTITUTE(SUBSTITUTE(_5__DAILY_USAGE_TREND[[#This Row],[TOTAL_DURATION]],"hour",":"),"min",""))</f>
        <v>0.46597222222222223</v>
      </c>
    </row>
    <row r="756" spans="1:8" x14ac:dyDescent="0.3">
      <c r="A756" s="1">
        <v>45881</v>
      </c>
      <c r="B756">
        <v>6</v>
      </c>
      <c r="C756">
        <v>5</v>
      </c>
      <c r="D756">
        <v>14</v>
      </c>
      <c r="E756">
        <v>5437</v>
      </c>
      <c r="F756">
        <v>6</v>
      </c>
      <c r="G756" t="s">
        <v>635</v>
      </c>
      <c r="H756">
        <f>TIMEVALUE(SUBSTITUTE(SUBSTITUTE(_5__DAILY_USAGE_TREND[[#This Row],[TOTAL_DURATION]],"hour",":"),"min",""))</f>
        <v>4.2361111111111072E-2</v>
      </c>
    </row>
    <row r="757" spans="1:8" x14ac:dyDescent="0.3">
      <c r="A757" s="1">
        <v>45882</v>
      </c>
      <c r="B757">
        <v>4</v>
      </c>
      <c r="C757">
        <v>3</v>
      </c>
      <c r="D757">
        <v>11</v>
      </c>
      <c r="E757">
        <v>3983</v>
      </c>
      <c r="F757">
        <v>4</v>
      </c>
      <c r="G757" t="s">
        <v>636</v>
      </c>
      <c r="H757">
        <f>TIMEVALUE(SUBSTITUTE(SUBSTITUTE(_5__DAILY_USAGE_TREND[[#This Row],[TOTAL_DURATION]],"hour",":"),"min",""))</f>
        <v>0.55486111111111114</v>
      </c>
    </row>
    <row r="758" spans="1:8" x14ac:dyDescent="0.3">
      <c r="A758" s="1">
        <v>45883</v>
      </c>
      <c r="B758">
        <v>7</v>
      </c>
      <c r="C758">
        <v>6</v>
      </c>
      <c r="D758">
        <v>14</v>
      </c>
      <c r="E758">
        <v>5213</v>
      </c>
      <c r="F758">
        <v>7</v>
      </c>
      <c r="G758" t="s">
        <v>637</v>
      </c>
      <c r="H758">
        <f>TIMEVALUE(SUBSTITUTE(SUBSTITUTE(_5__DAILY_USAGE_TREND[[#This Row],[TOTAL_DURATION]],"hour",":"),"min",""))</f>
        <v>0.75624999999999998</v>
      </c>
    </row>
    <row r="759" spans="1:8" x14ac:dyDescent="0.3">
      <c r="A759" s="1">
        <v>45884</v>
      </c>
      <c r="B759">
        <v>8</v>
      </c>
      <c r="C759">
        <v>5</v>
      </c>
      <c r="D759">
        <v>11</v>
      </c>
      <c r="E759">
        <v>3685</v>
      </c>
      <c r="F759">
        <v>8</v>
      </c>
      <c r="G759" t="s">
        <v>638</v>
      </c>
      <c r="H759">
        <f>TIMEVALUE(SUBSTITUTE(SUBSTITUTE(_5__DAILY_USAGE_TREND[[#This Row],[TOTAL_DURATION]],"hour",":"),"min",""))</f>
        <v>0.34027777777777779</v>
      </c>
    </row>
    <row r="760" spans="1:8" x14ac:dyDescent="0.3">
      <c r="A760" s="1">
        <v>45885</v>
      </c>
      <c r="B760">
        <v>9</v>
      </c>
      <c r="C760">
        <v>5</v>
      </c>
      <c r="D760">
        <v>19</v>
      </c>
      <c r="E760">
        <v>8255</v>
      </c>
      <c r="F760">
        <v>9</v>
      </c>
      <c r="G760" t="s">
        <v>639</v>
      </c>
      <c r="H760">
        <f>TIMEVALUE(SUBSTITUTE(SUBSTITUTE(_5__DAILY_USAGE_TREND[[#This Row],[TOTAL_DURATION]],"hour",":"),"min",""))</f>
        <v>0.14444444444444438</v>
      </c>
    </row>
    <row r="761" spans="1:8" x14ac:dyDescent="0.3">
      <c r="A761" s="1">
        <v>45886</v>
      </c>
      <c r="B761">
        <v>7</v>
      </c>
      <c r="C761">
        <v>4</v>
      </c>
      <c r="D761">
        <v>13</v>
      </c>
      <c r="E761">
        <v>4387</v>
      </c>
      <c r="F761">
        <v>7</v>
      </c>
      <c r="G761" t="s">
        <v>640</v>
      </c>
      <c r="H761">
        <f>TIMEVALUE(SUBSTITUTE(SUBSTITUTE(_5__DAILY_USAGE_TREND[[#This Row],[TOTAL_DURATION]],"hour",":"),"min",""))</f>
        <v>0.73611111111111116</v>
      </c>
    </row>
    <row r="762" spans="1:8" x14ac:dyDescent="0.3">
      <c r="A762" s="1">
        <v>45887</v>
      </c>
      <c r="B762">
        <v>10</v>
      </c>
      <c r="C762">
        <v>7</v>
      </c>
      <c r="D762">
        <v>18</v>
      </c>
      <c r="E762">
        <v>7270</v>
      </c>
      <c r="F762">
        <v>10</v>
      </c>
      <c r="G762" t="s">
        <v>547</v>
      </c>
      <c r="H762">
        <f>TIMEVALUE(SUBSTITUTE(SUBSTITUTE(_5__DAILY_USAGE_TREND[[#This Row],[TOTAL_DURATION]],"hour",":"),"min",""))</f>
        <v>0.58750000000000002</v>
      </c>
    </row>
    <row r="763" spans="1:8" x14ac:dyDescent="0.3">
      <c r="A763" s="1">
        <v>45888</v>
      </c>
      <c r="B763">
        <v>4</v>
      </c>
      <c r="C763">
        <v>3</v>
      </c>
      <c r="D763">
        <v>5</v>
      </c>
      <c r="E763">
        <v>1537</v>
      </c>
      <c r="F763">
        <v>4</v>
      </c>
      <c r="G763" t="s">
        <v>641</v>
      </c>
      <c r="H763">
        <f>TIMEVALUE(SUBSTITUTE(SUBSTITUTE(_5__DAILY_USAGE_TREND[[#This Row],[TOTAL_DURATION]],"hour",":"),"min",""))</f>
        <v>0.14166666666666666</v>
      </c>
    </row>
    <row r="764" spans="1:8" x14ac:dyDescent="0.3">
      <c r="A764" s="1">
        <v>45889</v>
      </c>
      <c r="B764">
        <v>4</v>
      </c>
      <c r="C764">
        <v>4</v>
      </c>
      <c r="D764">
        <v>7</v>
      </c>
      <c r="E764">
        <v>2564</v>
      </c>
      <c r="F764">
        <v>4</v>
      </c>
      <c r="G764" t="s">
        <v>642</v>
      </c>
      <c r="H764">
        <f>TIMEVALUE(SUBSTITUTE(SUBSTITUTE(_5__DAILY_USAGE_TREND[[#This Row],[TOTAL_DURATION]],"hour",":"),"min",""))</f>
        <v>0.65833333333333333</v>
      </c>
    </row>
    <row r="765" spans="1:8" x14ac:dyDescent="0.3">
      <c r="A765" s="1">
        <v>45890</v>
      </c>
      <c r="B765">
        <v>8</v>
      </c>
      <c r="C765">
        <v>7</v>
      </c>
      <c r="D765">
        <v>18</v>
      </c>
      <c r="E765">
        <v>7564</v>
      </c>
      <c r="F765">
        <v>8</v>
      </c>
      <c r="G765" t="s">
        <v>643</v>
      </c>
      <c r="H765">
        <f>TIMEVALUE(SUBSTITUTE(SUBSTITUTE(_5__DAILY_USAGE_TREND[[#This Row],[TOTAL_DURATION]],"hour",":"),"min",""))</f>
        <v>0.70694444444444449</v>
      </c>
    </row>
    <row r="766" spans="1:8" x14ac:dyDescent="0.3">
      <c r="A766" s="1">
        <v>45891</v>
      </c>
      <c r="B766">
        <v>8</v>
      </c>
      <c r="C766">
        <v>6</v>
      </c>
      <c r="D766">
        <v>15</v>
      </c>
      <c r="E766">
        <v>5015</v>
      </c>
      <c r="F766">
        <v>8</v>
      </c>
      <c r="G766" t="s">
        <v>103</v>
      </c>
      <c r="H766">
        <f>TIMEVALUE(SUBSTITUTE(SUBSTITUTE(_5__DAILY_USAGE_TREND[[#This Row],[TOTAL_DURATION]],"hour",":"),"min",""))</f>
        <v>0.50138888888888888</v>
      </c>
    </row>
    <row r="767" spans="1:8" x14ac:dyDescent="0.3">
      <c r="A767" s="1">
        <v>45892</v>
      </c>
      <c r="B767">
        <v>6</v>
      </c>
      <c r="C767">
        <v>6</v>
      </c>
      <c r="D767">
        <v>17</v>
      </c>
      <c r="E767">
        <v>6505</v>
      </c>
      <c r="F767">
        <v>6</v>
      </c>
      <c r="G767" t="s">
        <v>644</v>
      </c>
      <c r="H767">
        <f>TIMEVALUE(SUBSTITUTE(SUBSTITUTE(_5__DAILY_USAGE_TREND[[#This Row],[TOTAL_DURATION]],"hour",":"),"min",""))</f>
        <v>0.59444444444444444</v>
      </c>
    </row>
    <row r="768" spans="1:8" x14ac:dyDescent="0.3">
      <c r="A768" s="1">
        <v>45893</v>
      </c>
      <c r="B768">
        <v>8</v>
      </c>
      <c r="C768">
        <v>5</v>
      </c>
      <c r="D768">
        <v>23</v>
      </c>
      <c r="E768">
        <v>7842</v>
      </c>
      <c r="F768">
        <v>8</v>
      </c>
      <c r="G768" t="s">
        <v>645</v>
      </c>
      <c r="H768">
        <f>TIMEVALUE(SUBSTITUTE(SUBSTITUTE(_5__DAILY_USAGE_TREND[[#This Row],[TOTAL_DURATION]],"hour",":"),"min",""))</f>
        <v>0.14999999999999991</v>
      </c>
    </row>
    <row r="769" spans="1:8" x14ac:dyDescent="0.3">
      <c r="A769" s="1">
        <v>45894</v>
      </c>
      <c r="B769">
        <v>14</v>
      </c>
      <c r="C769">
        <v>8</v>
      </c>
      <c r="D769">
        <v>33</v>
      </c>
      <c r="E769">
        <v>10562</v>
      </c>
      <c r="F769">
        <v>14</v>
      </c>
      <c r="G769" t="s">
        <v>646</v>
      </c>
      <c r="H769">
        <f>TIMEVALUE(SUBSTITUTE(SUBSTITUTE(_5__DAILY_USAGE_TREND[[#This Row],[TOTAL_DURATION]],"hour",":"),"min",""))</f>
        <v>2.0138888888888928E-2</v>
      </c>
    </row>
    <row r="770" spans="1:8" x14ac:dyDescent="0.3">
      <c r="A770" s="1">
        <v>45895</v>
      </c>
      <c r="B770">
        <v>11</v>
      </c>
      <c r="C770">
        <v>7</v>
      </c>
      <c r="D770">
        <v>19</v>
      </c>
      <c r="E770">
        <v>5948</v>
      </c>
      <c r="F770">
        <v>11</v>
      </c>
      <c r="G770" t="s">
        <v>647</v>
      </c>
      <c r="H770">
        <f>TIMEVALUE(SUBSTITUTE(SUBSTITUTE(_5__DAILY_USAGE_TREND[[#This Row],[TOTAL_DURATION]],"hour",":"),"min",""))</f>
        <v>0.98472222222222228</v>
      </c>
    </row>
    <row r="771" spans="1:8" x14ac:dyDescent="0.3">
      <c r="A771" s="1">
        <v>45896</v>
      </c>
      <c r="B771">
        <v>8</v>
      </c>
      <c r="C771">
        <v>6</v>
      </c>
      <c r="D771">
        <v>26</v>
      </c>
      <c r="E771">
        <v>10294</v>
      </c>
      <c r="F771">
        <v>8</v>
      </c>
      <c r="G771" t="s">
        <v>648</v>
      </c>
      <c r="H771">
        <f>TIMEVALUE(SUBSTITUTE(SUBSTITUTE(_5__DAILY_USAGE_TREND[[#This Row],[TOTAL_DURATION]],"hour",":"),"min",""))</f>
        <v>0.3833333333333333</v>
      </c>
    </row>
    <row r="772" spans="1:8" x14ac:dyDescent="0.3">
      <c r="A772" s="1">
        <v>45897</v>
      </c>
      <c r="B772">
        <v>3</v>
      </c>
      <c r="C772">
        <v>4</v>
      </c>
      <c r="D772">
        <v>9</v>
      </c>
      <c r="E772">
        <v>2906</v>
      </c>
      <c r="F772">
        <v>4</v>
      </c>
      <c r="G772" t="s">
        <v>649</v>
      </c>
      <c r="H772">
        <f>TIMEVALUE(SUBSTITUTE(SUBSTITUTE(_5__DAILY_USAGE_TREND[[#This Row],[TOTAL_DURATION]],"hour",":"),"min",""))</f>
        <v>0.35625000000000001</v>
      </c>
    </row>
    <row r="773" spans="1:8" x14ac:dyDescent="0.3">
      <c r="A773" s="1">
        <v>45898</v>
      </c>
      <c r="B773">
        <v>7</v>
      </c>
      <c r="C773">
        <v>4</v>
      </c>
      <c r="D773">
        <v>12</v>
      </c>
      <c r="E773">
        <v>4608</v>
      </c>
      <c r="F773">
        <v>7</v>
      </c>
      <c r="G773" t="s">
        <v>385</v>
      </c>
      <c r="H773">
        <f>TIMEVALUE(SUBSTITUTE(SUBSTITUTE(_5__DAILY_USAGE_TREND[[#This Row],[TOTAL_DURATION]],"hour",":"),"min",""))</f>
        <v>0.44236111111111109</v>
      </c>
    </row>
    <row r="774" spans="1:8" x14ac:dyDescent="0.3">
      <c r="A774" s="1">
        <v>45899</v>
      </c>
      <c r="B774">
        <v>4</v>
      </c>
      <c r="C774">
        <v>4</v>
      </c>
      <c r="D774">
        <v>8</v>
      </c>
      <c r="E774">
        <v>4046</v>
      </c>
      <c r="F774">
        <v>4</v>
      </c>
      <c r="G774" t="s">
        <v>650</v>
      </c>
      <c r="H774">
        <f>TIMEVALUE(SUBSTITUTE(SUBSTITUTE(_5__DAILY_USAGE_TREND[[#This Row],[TOTAL_DURATION]],"hour",":"),"min",""))</f>
        <v>0.43541666666666656</v>
      </c>
    </row>
    <row r="775" spans="1:8" x14ac:dyDescent="0.3">
      <c r="A775" s="1">
        <v>45900</v>
      </c>
      <c r="B775">
        <v>4</v>
      </c>
      <c r="C775">
        <v>3</v>
      </c>
      <c r="D775">
        <v>6</v>
      </c>
      <c r="E775">
        <v>2296</v>
      </c>
      <c r="F775">
        <v>4</v>
      </c>
      <c r="G775" t="s">
        <v>651</v>
      </c>
      <c r="H775">
        <f>TIMEVALUE(SUBSTITUTE(SUBSTITUTE(_5__DAILY_USAGE_TREND[[#This Row],[TOTAL_DURATION]],"hour",":"),"min",""))</f>
        <v>0.27500000000000002</v>
      </c>
    </row>
    <row r="776" spans="1:8" x14ac:dyDescent="0.3">
      <c r="A776" s="1">
        <v>45901</v>
      </c>
      <c r="B776">
        <v>11</v>
      </c>
      <c r="C776">
        <v>6</v>
      </c>
      <c r="D776">
        <v>26</v>
      </c>
      <c r="E776">
        <v>9523</v>
      </c>
      <c r="F776">
        <v>11</v>
      </c>
      <c r="G776" t="s">
        <v>652</v>
      </c>
      <c r="H776">
        <f>TIMEVALUE(SUBSTITUTE(SUBSTITUTE(_5__DAILY_USAGE_TREND[[#This Row],[TOTAL_DURATION]],"hour",":"),"min",""))</f>
        <v>0.32569444444444451</v>
      </c>
    </row>
    <row r="777" spans="1:8" x14ac:dyDescent="0.3">
      <c r="A777" s="1">
        <v>45902</v>
      </c>
      <c r="B777">
        <v>11</v>
      </c>
      <c r="C777">
        <v>7</v>
      </c>
      <c r="D777">
        <v>27</v>
      </c>
      <c r="E777">
        <v>9356</v>
      </c>
      <c r="F777">
        <v>11</v>
      </c>
      <c r="G777" t="s">
        <v>653</v>
      </c>
      <c r="H777">
        <f>TIMEVALUE(SUBSTITUTE(SUBSTITUTE(_5__DAILY_USAGE_TREND[[#This Row],[TOTAL_DURATION]],"hour",":"),"min",""))</f>
        <v>0.56597222222222232</v>
      </c>
    </row>
    <row r="778" spans="1:8" x14ac:dyDescent="0.3">
      <c r="A778" s="1">
        <v>45903</v>
      </c>
      <c r="B778">
        <v>7</v>
      </c>
      <c r="C778">
        <v>6</v>
      </c>
      <c r="D778">
        <v>19</v>
      </c>
      <c r="E778">
        <v>7935</v>
      </c>
      <c r="F778">
        <v>7</v>
      </c>
      <c r="G778" t="s">
        <v>357</v>
      </c>
      <c r="H778">
        <f>TIMEVALUE(SUBSTITUTE(SUBSTITUTE(_5__DAILY_USAGE_TREND[[#This Row],[TOTAL_DURATION]],"hour",":"),"min",""))</f>
        <v>0.78680555555555554</v>
      </c>
    </row>
    <row r="779" spans="1:8" x14ac:dyDescent="0.3">
      <c r="A779" s="1">
        <v>45904</v>
      </c>
      <c r="B779">
        <v>6</v>
      </c>
      <c r="C779">
        <v>4</v>
      </c>
      <c r="D779">
        <v>10</v>
      </c>
      <c r="E779">
        <v>3673</v>
      </c>
      <c r="F779">
        <v>6</v>
      </c>
      <c r="G779" t="s">
        <v>296</v>
      </c>
      <c r="H779">
        <f>TIMEVALUE(SUBSTITUTE(SUBSTITUTE(_5__DAILY_USAGE_TREND[[#This Row],[TOTAL_DURATION]],"hour",":"),"min",""))</f>
        <v>0.27013888888888887</v>
      </c>
    </row>
    <row r="780" spans="1:8" x14ac:dyDescent="0.3">
      <c r="A780" s="1">
        <v>45905</v>
      </c>
      <c r="B780">
        <v>9</v>
      </c>
      <c r="C780">
        <v>5</v>
      </c>
      <c r="D780">
        <v>20</v>
      </c>
      <c r="E780">
        <v>7442</v>
      </c>
      <c r="F780">
        <v>9</v>
      </c>
      <c r="G780" t="s">
        <v>654</v>
      </c>
      <c r="H780">
        <f>TIMEVALUE(SUBSTITUTE(SUBSTITUTE(_5__DAILY_USAGE_TREND[[#This Row],[TOTAL_DURATION]],"hour",":"),"min",""))</f>
        <v>0.44930555555555562</v>
      </c>
    </row>
    <row r="781" spans="1:8" x14ac:dyDescent="0.3">
      <c r="A781" s="1">
        <v>45906</v>
      </c>
      <c r="B781">
        <v>8</v>
      </c>
      <c r="C781">
        <v>6</v>
      </c>
      <c r="D781">
        <v>22</v>
      </c>
      <c r="E781">
        <v>9442</v>
      </c>
      <c r="F781">
        <v>8</v>
      </c>
      <c r="G781" t="s">
        <v>655</v>
      </c>
      <c r="H781">
        <f>TIMEVALUE(SUBSTITUTE(SUBSTITUTE(_5__DAILY_USAGE_TREND[[#This Row],[TOTAL_DURATION]],"hour",":"),"min",""))</f>
        <v>0.46666666666666679</v>
      </c>
    </row>
    <row r="782" spans="1:8" x14ac:dyDescent="0.3">
      <c r="A782" s="1">
        <v>45907</v>
      </c>
      <c r="B782">
        <v>11</v>
      </c>
      <c r="C782">
        <v>9</v>
      </c>
      <c r="D782">
        <v>28</v>
      </c>
      <c r="E782">
        <v>10608</v>
      </c>
      <c r="F782">
        <v>11</v>
      </c>
      <c r="G782" t="s">
        <v>656</v>
      </c>
      <c r="H782">
        <f>TIMEVALUE(SUBSTITUTE(SUBSTITUTE(_5__DAILY_USAGE_TREND[[#This Row],[TOTAL_DURATION]],"hour",":"),"min",""))</f>
        <v>0.3173611111111112</v>
      </c>
    </row>
    <row r="783" spans="1:8" x14ac:dyDescent="0.3">
      <c r="A783" s="1">
        <v>45908</v>
      </c>
      <c r="B783">
        <v>4</v>
      </c>
      <c r="C783">
        <v>4</v>
      </c>
      <c r="D783">
        <v>9</v>
      </c>
      <c r="E783">
        <v>2489</v>
      </c>
      <c r="F783">
        <v>4</v>
      </c>
      <c r="G783" t="s">
        <v>657</v>
      </c>
      <c r="H783">
        <f>TIMEVALUE(SUBSTITUTE(SUBSTITUTE(_5__DAILY_USAGE_TREND[[#This Row],[TOTAL_DURATION]],"hour",":"),"min",""))</f>
        <v>0.70347222222222228</v>
      </c>
    </row>
    <row r="784" spans="1:8" x14ac:dyDescent="0.3">
      <c r="A784" s="1">
        <v>45909</v>
      </c>
      <c r="B784">
        <v>5</v>
      </c>
      <c r="C784">
        <v>5</v>
      </c>
      <c r="D784">
        <v>10</v>
      </c>
      <c r="E784">
        <v>3714</v>
      </c>
      <c r="F784">
        <v>5</v>
      </c>
      <c r="G784" t="s">
        <v>658</v>
      </c>
      <c r="H784">
        <f>TIMEVALUE(SUBSTITUTE(SUBSTITUTE(_5__DAILY_USAGE_TREND[[#This Row],[TOTAL_DURATION]],"hour",":"),"min",""))</f>
        <v>0.31527777777777777</v>
      </c>
    </row>
    <row r="785" spans="1:8" x14ac:dyDescent="0.3">
      <c r="A785" s="1">
        <v>45910</v>
      </c>
      <c r="B785">
        <v>7</v>
      </c>
      <c r="C785">
        <v>5</v>
      </c>
      <c r="D785">
        <v>13</v>
      </c>
      <c r="E785">
        <v>5733</v>
      </c>
      <c r="F785">
        <v>7</v>
      </c>
      <c r="G785" t="s">
        <v>659</v>
      </c>
      <c r="H785">
        <f>TIMEVALUE(SUBSTITUTE(SUBSTITUTE(_5__DAILY_USAGE_TREND[[#This Row],[TOTAL_DURATION]],"hour",":"),"min",""))</f>
        <v>0.67500000000000004</v>
      </c>
    </row>
    <row r="786" spans="1:8" x14ac:dyDescent="0.3">
      <c r="A786" s="1">
        <v>45911</v>
      </c>
      <c r="B786">
        <v>8</v>
      </c>
      <c r="C786">
        <v>5</v>
      </c>
      <c r="D786">
        <v>19</v>
      </c>
      <c r="E786">
        <v>5907</v>
      </c>
      <c r="F786">
        <v>8</v>
      </c>
      <c r="G786" t="s">
        <v>660</v>
      </c>
      <c r="H786">
        <f>TIMEVALUE(SUBSTITUTE(SUBSTITUTE(_5__DAILY_USAGE_TREND[[#This Row],[TOTAL_DURATION]],"hour",":"),"min",""))</f>
        <v>0.61250000000000004</v>
      </c>
    </row>
    <row r="787" spans="1:8" x14ac:dyDescent="0.3">
      <c r="A787" s="1">
        <v>45912</v>
      </c>
      <c r="B787">
        <v>6</v>
      </c>
      <c r="C787">
        <v>4</v>
      </c>
      <c r="D787">
        <v>12</v>
      </c>
      <c r="E787">
        <v>4305</v>
      </c>
      <c r="F787">
        <v>6</v>
      </c>
      <c r="G787" t="s">
        <v>624</v>
      </c>
      <c r="H787">
        <f>TIMEVALUE(SUBSTITUTE(SUBSTITUTE(_5__DAILY_USAGE_TREND[[#This Row],[TOTAL_DURATION]],"hour",":"),"min",""))</f>
        <v>0.45555555555555555</v>
      </c>
    </row>
    <row r="788" spans="1:8" x14ac:dyDescent="0.3">
      <c r="A788" s="1">
        <v>45913</v>
      </c>
      <c r="B788">
        <v>6</v>
      </c>
      <c r="C788">
        <v>5</v>
      </c>
      <c r="D788">
        <v>14</v>
      </c>
      <c r="E788">
        <v>4882</v>
      </c>
      <c r="F788">
        <v>6</v>
      </c>
      <c r="G788" t="s">
        <v>661</v>
      </c>
      <c r="H788">
        <f>TIMEVALUE(SUBSTITUTE(SUBSTITUTE(_5__DAILY_USAGE_TREND[[#This Row],[TOTAL_DURATION]],"hour",":"),"min",""))</f>
        <v>0.46041666666666664</v>
      </c>
    </row>
    <row r="789" spans="1:8" x14ac:dyDescent="0.3">
      <c r="A789" s="1">
        <v>45914</v>
      </c>
      <c r="B789">
        <v>10</v>
      </c>
      <c r="C789">
        <v>7</v>
      </c>
      <c r="D789">
        <v>23</v>
      </c>
      <c r="E789">
        <v>7481</v>
      </c>
      <c r="F789">
        <v>10</v>
      </c>
      <c r="G789" t="s">
        <v>662</v>
      </c>
      <c r="H789">
        <f>TIMEVALUE(SUBSTITUTE(SUBSTITUTE(_5__DAILY_USAGE_TREND[[#This Row],[TOTAL_DURATION]],"hour",":"),"min",""))</f>
        <v>0.39305555555555549</v>
      </c>
    </row>
    <row r="790" spans="1:8" x14ac:dyDescent="0.3">
      <c r="A790" s="1">
        <v>45915</v>
      </c>
      <c r="B790">
        <v>11</v>
      </c>
      <c r="C790">
        <v>7</v>
      </c>
      <c r="D790">
        <v>27</v>
      </c>
      <c r="E790">
        <v>10246</v>
      </c>
      <c r="F790">
        <v>11</v>
      </c>
      <c r="G790" t="s">
        <v>663</v>
      </c>
      <c r="H790">
        <f>TIMEVALUE(SUBSTITUTE(SUBSTITUTE(_5__DAILY_USAGE_TREND[[#This Row],[TOTAL_DURATION]],"hour",":"),"min",""))</f>
        <v>2.0833333333333481E-2</v>
      </c>
    </row>
    <row r="791" spans="1:8" x14ac:dyDescent="0.3">
      <c r="A791" s="1">
        <v>45916</v>
      </c>
      <c r="B791">
        <v>11</v>
      </c>
      <c r="C791">
        <v>8</v>
      </c>
      <c r="D791">
        <v>25</v>
      </c>
      <c r="E791">
        <v>8108</v>
      </c>
      <c r="F791">
        <v>11</v>
      </c>
      <c r="G791" t="s">
        <v>664</v>
      </c>
      <c r="H791">
        <f>TIMEVALUE(SUBSTITUTE(SUBSTITUTE(_5__DAILY_USAGE_TREND[[#This Row],[TOTAL_DURATION]],"hour",":"),"min",""))</f>
        <v>0.86736111111111114</v>
      </c>
    </row>
    <row r="792" spans="1:8" x14ac:dyDescent="0.3">
      <c r="A792" s="1">
        <v>45917</v>
      </c>
      <c r="B792">
        <v>4</v>
      </c>
      <c r="C792">
        <v>4</v>
      </c>
      <c r="D792">
        <v>6</v>
      </c>
      <c r="E792">
        <v>1400</v>
      </c>
      <c r="F792">
        <v>4</v>
      </c>
      <c r="G792" t="s">
        <v>665</v>
      </c>
      <c r="H792">
        <f>TIMEVALUE(SUBSTITUTE(SUBSTITUTE(_5__DAILY_USAGE_TREND[[#This Row],[TOTAL_DURATION]],"hour",":"),"min",""))</f>
        <v>0.41041666666666665</v>
      </c>
    </row>
    <row r="793" spans="1:8" x14ac:dyDescent="0.3">
      <c r="A793" s="1">
        <v>45918</v>
      </c>
      <c r="B793">
        <v>7</v>
      </c>
      <c r="C793">
        <v>4</v>
      </c>
      <c r="D793">
        <v>23</v>
      </c>
      <c r="E793">
        <v>9430</v>
      </c>
      <c r="F793">
        <v>7</v>
      </c>
      <c r="G793" t="s">
        <v>666</v>
      </c>
      <c r="H793">
        <f>TIMEVALUE(SUBSTITUTE(SUBSTITUTE(_5__DAILY_USAGE_TREND[[#This Row],[TOTAL_DURATION]],"hour",":"),"min",""))</f>
        <v>0.45208333333333339</v>
      </c>
    </row>
    <row r="794" spans="1:8" x14ac:dyDescent="0.3">
      <c r="A794" s="1">
        <v>45919</v>
      </c>
      <c r="B794">
        <v>5</v>
      </c>
      <c r="C794">
        <v>3</v>
      </c>
      <c r="D794">
        <v>9</v>
      </c>
      <c r="E794">
        <v>3117</v>
      </c>
      <c r="F794">
        <v>5</v>
      </c>
      <c r="G794" t="s">
        <v>628</v>
      </c>
      <c r="H794">
        <f>TIMEVALUE(SUBSTITUTE(SUBSTITUTE(_5__DAILY_USAGE_TREND[[#This Row],[TOTAL_DURATION]],"hour",":"),"min",""))</f>
        <v>0.47569444444444442</v>
      </c>
    </row>
    <row r="795" spans="1:8" x14ac:dyDescent="0.3">
      <c r="A795" s="1">
        <v>45920</v>
      </c>
      <c r="B795">
        <v>6</v>
      </c>
      <c r="C795">
        <v>4</v>
      </c>
      <c r="D795">
        <v>12</v>
      </c>
      <c r="E795">
        <v>4576</v>
      </c>
      <c r="F795">
        <v>6</v>
      </c>
      <c r="G795" t="s">
        <v>602</v>
      </c>
      <c r="H795">
        <f>TIMEVALUE(SUBSTITUTE(SUBSTITUTE(_5__DAILY_USAGE_TREND[[#This Row],[TOTAL_DURATION]],"hour",":"),"min",""))</f>
        <v>0.57986111111111116</v>
      </c>
    </row>
    <row r="796" spans="1:8" x14ac:dyDescent="0.3">
      <c r="A796" s="1">
        <v>45921</v>
      </c>
      <c r="B796">
        <v>8</v>
      </c>
      <c r="C796">
        <v>6</v>
      </c>
      <c r="D796">
        <v>19</v>
      </c>
      <c r="E796">
        <v>7413</v>
      </c>
      <c r="F796">
        <v>8</v>
      </c>
      <c r="G796" t="s">
        <v>667</v>
      </c>
      <c r="H796">
        <f>TIMEVALUE(SUBSTITUTE(SUBSTITUTE(_5__DAILY_USAGE_TREND[[#This Row],[TOTAL_DURATION]],"hour",":"),"min",""))</f>
        <v>0.98194444444444451</v>
      </c>
    </row>
    <row r="797" spans="1:8" x14ac:dyDescent="0.3">
      <c r="A797" s="1">
        <v>45922</v>
      </c>
      <c r="B797">
        <v>7</v>
      </c>
      <c r="C797">
        <v>6</v>
      </c>
      <c r="D797">
        <v>12</v>
      </c>
      <c r="E797">
        <v>4135</v>
      </c>
      <c r="F797">
        <v>7</v>
      </c>
      <c r="G797" t="s">
        <v>668</v>
      </c>
      <c r="H797">
        <f>TIMEVALUE(SUBSTITUTE(SUBSTITUTE(_5__DAILY_USAGE_TREND[[#This Row],[TOTAL_DURATION]],"hour",":"),"min",""))</f>
        <v>0.53749999999999998</v>
      </c>
    </row>
    <row r="798" spans="1:8" x14ac:dyDescent="0.3">
      <c r="A798" s="1">
        <v>45923</v>
      </c>
      <c r="B798">
        <v>8</v>
      </c>
      <c r="C798">
        <v>5</v>
      </c>
      <c r="D798">
        <v>18</v>
      </c>
      <c r="E798">
        <v>5839</v>
      </c>
      <c r="F798">
        <v>8</v>
      </c>
      <c r="G798" t="s">
        <v>669</v>
      </c>
      <c r="H798">
        <f>TIMEVALUE(SUBSTITUTE(SUBSTITUTE(_5__DAILY_USAGE_TREND[[#This Row],[TOTAL_DURATION]],"hour",":"),"min",""))</f>
        <v>0.82847222222222228</v>
      </c>
    </row>
    <row r="799" spans="1:8" x14ac:dyDescent="0.3">
      <c r="A799" s="1">
        <v>45924</v>
      </c>
      <c r="B799">
        <v>11</v>
      </c>
      <c r="C799">
        <v>6</v>
      </c>
      <c r="D799">
        <v>23</v>
      </c>
      <c r="E799">
        <v>8618</v>
      </c>
      <c r="F799">
        <v>11</v>
      </c>
      <c r="G799" t="s">
        <v>670</v>
      </c>
      <c r="H799">
        <f>TIMEVALUE(SUBSTITUTE(SUBSTITUTE(_5__DAILY_USAGE_TREND[[#This Row],[TOTAL_DURATION]],"hour",":"),"min",""))</f>
        <v>0.90902777777777777</v>
      </c>
    </row>
    <row r="800" spans="1:8" x14ac:dyDescent="0.3">
      <c r="A800" s="1">
        <v>45925</v>
      </c>
      <c r="B800">
        <v>4</v>
      </c>
      <c r="C800">
        <v>4</v>
      </c>
      <c r="D800">
        <v>10</v>
      </c>
      <c r="E800">
        <v>3834</v>
      </c>
      <c r="F800">
        <v>4</v>
      </c>
      <c r="G800" t="s">
        <v>671</v>
      </c>
      <c r="H800">
        <f>TIMEVALUE(SUBSTITUTE(SUBSTITUTE(_5__DAILY_USAGE_TREND[[#This Row],[TOTAL_DURATION]],"hour",":"),"min",""))</f>
        <v>0.57291666666666663</v>
      </c>
    </row>
    <row r="801" spans="1:8" x14ac:dyDescent="0.3">
      <c r="A801" s="1">
        <v>45926</v>
      </c>
      <c r="B801">
        <v>5</v>
      </c>
      <c r="C801">
        <v>5</v>
      </c>
      <c r="D801">
        <v>16</v>
      </c>
      <c r="E801">
        <v>4824</v>
      </c>
      <c r="F801">
        <v>5</v>
      </c>
      <c r="G801" t="s">
        <v>672</v>
      </c>
      <c r="H801">
        <f>TIMEVALUE(SUBSTITUTE(SUBSTITUTE(_5__DAILY_USAGE_TREND[[#This Row],[TOTAL_DURATION]],"hour",":"),"min",""))</f>
        <v>0.98819444444444438</v>
      </c>
    </row>
    <row r="802" spans="1:8" x14ac:dyDescent="0.3">
      <c r="A802" s="1">
        <v>45927</v>
      </c>
      <c r="B802">
        <v>4</v>
      </c>
      <c r="C802">
        <v>3</v>
      </c>
      <c r="D802">
        <v>11</v>
      </c>
      <c r="E802">
        <v>3992</v>
      </c>
      <c r="F802">
        <v>4</v>
      </c>
      <c r="G802" t="s">
        <v>673</v>
      </c>
      <c r="H802">
        <f>TIMEVALUE(SUBSTITUTE(SUBSTITUTE(_5__DAILY_USAGE_TREND[[#This Row],[TOTAL_DURATION]],"hour",":"),"min",""))</f>
        <v>0.29652777777777778</v>
      </c>
    </row>
    <row r="803" spans="1:8" x14ac:dyDescent="0.3">
      <c r="A803" s="1">
        <v>45928</v>
      </c>
      <c r="B803">
        <v>11</v>
      </c>
      <c r="C803">
        <v>7</v>
      </c>
      <c r="D803">
        <v>19</v>
      </c>
      <c r="E803">
        <v>6583</v>
      </c>
      <c r="F803">
        <v>11</v>
      </c>
      <c r="G803" t="s">
        <v>674</v>
      </c>
      <c r="H803">
        <f>TIMEVALUE(SUBSTITUTE(SUBSTITUTE(_5__DAILY_USAGE_TREND[[#This Row],[TOTAL_DURATION]],"hour",":"),"min",""))</f>
        <v>0.46250000000000002</v>
      </c>
    </row>
    <row r="804" spans="1:8" x14ac:dyDescent="0.3">
      <c r="A804" s="1">
        <v>45929</v>
      </c>
      <c r="B804">
        <v>6</v>
      </c>
      <c r="C804">
        <v>5</v>
      </c>
      <c r="D804">
        <v>10</v>
      </c>
      <c r="E804">
        <v>3660</v>
      </c>
      <c r="F804">
        <v>6</v>
      </c>
      <c r="G804" t="s">
        <v>675</v>
      </c>
      <c r="H804">
        <f>TIMEVALUE(SUBSTITUTE(SUBSTITUTE(_5__DAILY_USAGE_TREND[[#This Row],[TOTAL_DURATION]],"hour",":"),"min",""))</f>
        <v>0.73124999999999996</v>
      </c>
    </row>
    <row r="805" spans="1:8" x14ac:dyDescent="0.3">
      <c r="A805" s="1">
        <v>45930</v>
      </c>
      <c r="B805">
        <v>6</v>
      </c>
      <c r="C805">
        <v>5</v>
      </c>
      <c r="D805">
        <v>12</v>
      </c>
      <c r="E805">
        <v>4704</v>
      </c>
      <c r="F805">
        <v>6</v>
      </c>
      <c r="G805" t="s">
        <v>676</v>
      </c>
      <c r="H805">
        <f>TIMEVALUE(SUBSTITUTE(SUBSTITUTE(_5__DAILY_USAGE_TREND[[#This Row],[TOTAL_DURATION]],"hour",":"),"min",""))</f>
        <v>0.53194444444444444</v>
      </c>
    </row>
    <row r="806" spans="1:8" x14ac:dyDescent="0.3">
      <c r="A806" s="1">
        <v>45931</v>
      </c>
      <c r="B806">
        <v>7</v>
      </c>
      <c r="C806">
        <v>5</v>
      </c>
      <c r="D806">
        <v>16</v>
      </c>
      <c r="E806">
        <v>5258</v>
      </c>
      <c r="F806">
        <v>7</v>
      </c>
      <c r="G806" t="s">
        <v>677</v>
      </c>
      <c r="H806">
        <f>TIMEVALUE(SUBSTITUTE(SUBSTITUTE(_5__DAILY_USAGE_TREND[[#This Row],[TOTAL_DURATION]],"hour",":"),"min",""))</f>
        <v>0.46527777777777779</v>
      </c>
    </row>
    <row r="807" spans="1:8" x14ac:dyDescent="0.3">
      <c r="A807" s="1">
        <v>45932</v>
      </c>
      <c r="B807">
        <v>9</v>
      </c>
      <c r="C807">
        <v>5</v>
      </c>
      <c r="D807">
        <v>18</v>
      </c>
      <c r="E807">
        <v>6117</v>
      </c>
      <c r="F807">
        <v>9</v>
      </c>
      <c r="G807" t="s">
        <v>678</v>
      </c>
      <c r="H807">
        <f>TIMEVALUE(SUBSTITUTE(SUBSTITUTE(_5__DAILY_USAGE_TREND[[#This Row],[TOTAL_DURATION]],"hour",":"),"min",""))</f>
        <v>0.60624999999999996</v>
      </c>
    </row>
    <row r="808" spans="1:8" x14ac:dyDescent="0.3">
      <c r="A808" s="1">
        <v>45933</v>
      </c>
      <c r="B808">
        <v>3</v>
      </c>
      <c r="C808">
        <v>2</v>
      </c>
      <c r="D808">
        <v>12</v>
      </c>
      <c r="E808">
        <v>3415</v>
      </c>
      <c r="F808">
        <v>3</v>
      </c>
      <c r="G808" t="s">
        <v>679</v>
      </c>
      <c r="H808">
        <f>TIMEVALUE(SUBSTITUTE(SUBSTITUTE(_5__DAILY_USAGE_TREND[[#This Row],[TOTAL_DURATION]],"hour",":"),"min",""))</f>
        <v>0.43194444444444446</v>
      </c>
    </row>
    <row r="809" spans="1:8" x14ac:dyDescent="0.3">
      <c r="A809" s="1">
        <v>45934</v>
      </c>
      <c r="B809">
        <v>10</v>
      </c>
      <c r="C809">
        <v>8</v>
      </c>
      <c r="D809">
        <v>18</v>
      </c>
      <c r="E809">
        <v>4516</v>
      </c>
      <c r="F809">
        <v>10</v>
      </c>
      <c r="G809" t="s">
        <v>680</v>
      </c>
      <c r="H809">
        <f>TIMEVALUE(SUBSTITUTE(SUBSTITUTE(_5__DAILY_USAGE_TREND[[#This Row],[TOTAL_DURATION]],"hour",":"),"min",""))</f>
        <v>0.60277777777777775</v>
      </c>
    </row>
    <row r="810" spans="1:8" x14ac:dyDescent="0.3">
      <c r="A810" s="1">
        <v>45935</v>
      </c>
      <c r="B810">
        <v>7</v>
      </c>
      <c r="C810">
        <v>6</v>
      </c>
      <c r="D810">
        <v>16</v>
      </c>
      <c r="E810">
        <v>5349</v>
      </c>
      <c r="F810">
        <v>7</v>
      </c>
      <c r="G810" t="s">
        <v>681</v>
      </c>
      <c r="H810">
        <f>TIMEVALUE(SUBSTITUTE(SUBSTITUTE(_5__DAILY_USAGE_TREND[[#This Row],[TOTAL_DURATION]],"hour",":"),"min",""))</f>
        <v>0.8520833333333333</v>
      </c>
    </row>
    <row r="811" spans="1:8" x14ac:dyDescent="0.3">
      <c r="A811" s="1">
        <v>45936</v>
      </c>
      <c r="B811">
        <v>9</v>
      </c>
      <c r="C811">
        <v>8</v>
      </c>
      <c r="D811">
        <v>22</v>
      </c>
      <c r="E811">
        <v>8773</v>
      </c>
      <c r="F811">
        <v>9</v>
      </c>
      <c r="G811" t="s">
        <v>682</v>
      </c>
      <c r="H811">
        <f>TIMEVALUE(SUBSTITUTE(SUBSTITUTE(_5__DAILY_USAGE_TREND[[#This Row],[TOTAL_DURATION]],"hour",":"),"min",""))</f>
        <v>0.81041666666666667</v>
      </c>
    </row>
    <row r="812" spans="1:8" x14ac:dyDescent="0.3">
      <c r="A812" s="1">
        <v>45937</v>
      </c>
      <c r="B812">
        <v>9</v>
      </c>
      <c r="C812">
        <v>6</v>
      </c>
      <c r="D812">
        <v>21</v>
      </c>
      <c r="E812">
        <v>8676</v>
      </c>
      <c r="F812">
        <v>9</v>
      </c>
      <c r="G812" t="s">
        <v>683</v>
      </c>
      <c r="H812">
        <f>TIMEVALUE(SUBSTITUTE(SUBSTITUTE(_5__DAILY_USAGE_TREND[[#This Row],[TOTAL_DURATION]],"hour",":"),"min",""))</f>
        <v>0.7729166666666667</v>
      </c>
    </row>
    <row r="813" spans="1:8" x14ac:dyDescent="0.3">
      <c r="A813" s="1">
        <v>45938</v>
      </c>
      <c r="B813">
        <v>4</v>
      </c>
      <c r="C813">
        <v>4</v>
      </c>
      <c r="D813">
        <v>6</v>
      </c>
      <c r="E813">
        <v>2103</v>
      </c>
      <c r="F813">
        <v>4</v>
      </c>
      <c r="G813" t="s">
        <v>684</v>
      </c>
      <c r="H813">
        <f>TIMEVALUE(SUBSTITUTE(SUBSTITUTE(_5__DAILY_USAGE_TREND[[#This Row],[TOTAL_DURATION]],"hour",":"),"min",""))</f>
        <v>0.63611111111111107</v>
      </c>
    </row>
    <row r="814" spans="1:8" x14ac:dyDescent="0.3">
      <c r="A814" s="1">
        <v>45939</v>
      </c>
      <c r="B814">
        <v>9</v>
      </c>
      <c r="C814">
        <v>6</v>
      </c>
      <c r="D814">
        <v>22</v>
      </c>
      <c r="E814">
        <v>9982</v>
      </c>
      <c r="F814">
        <v>9</v>
      </c>
      <c r="G814" t="s">
        <v>685</v>
      </c>
      <c r="H814">
        <f>TIMEVALUE(SUBSTITUTE(SUBSTITUTE(_5__DAILY_USAGE_TREND[[#This Row],[TOTAL_DURATION]],"hour",":"),"min",""))</f>
        <v>0.28888888888888897</v>
      </c>
    </row>
    <row r="815" spans="1:8" x14ac:dyDescent="0.3">
      <c r="A815" s="1">
        <v>45940</v>
      </c>
      <c r="B815">
        <v>9</v>
      </c>
      <c r="C815">
        <v>7</v>
      </c>
      <c r="D815">
        <v>24</v>
      </c>
      <c r="E815">
        <v>8111</v>
      </c>
      <c r="F815">
        <v>9</v>
      </c>
      <c r="G815" t="s">
        <v>686</v>
      </c>
      <c r="H815">
        <f>TIMEVALUE(SUBSTITUTE(SUBSTITUTE(_5__DAILY_USAGE_TREND[[#This Row],[TOTAL_DURATION]],"hour",":"),"min",""))</f>
        <v>6.4583333333333437E-2</v>
      </c>
    </row>
    <row r="816" spans="1:8" x14ac:dyDescent="0.3">
      <c r="A816" s="1">
        <v>45941</v>
      </c>
      <c r="B816">
        <v>8</v>
      </c>
      <c r="C816">
        <v>3</v>
      </c>
      <c r="D816">
        <v>16</v>
      </c>
      <c r="E816">
        <v>4767</v>
      </c>
      <c r="F816">
        <v>8</v>
      </c>
      <c r="G816" t="s">
        <v>687</v>
      </c>
      <c r="H816">
        <f>TIMEVALUE(SUBSTITUTE(SUBSTITUTE(_5__DAILY_USAGE_TREND[[#This Row],[TOTAL_DURATION]],"hour",":"),"min",""))</f>
        <v>0.67847222222222214</v>
      </c>
    </row>
    <row r="817" spans="1:8" x14ac:dyDescent="0.3">
      <c r="A817" s="1">
        <v>45942</v>
      </c>
      <c r="B817">
        <v>12</v>
      </c>
      <c r="C817">
        <v>7</v>
      </c>
      <c r="D817">
        <v>29</v>
      </c>
      <c r="E817">
        <v>11600</v>
      </c>
      <c r="F817">
        <v>12</v>
      </c>
      <c r="G817" t="s">
        <v>688</v>
      </c>
      <c r="H817">
        <f>TIMEVALUE(SUBSTITUTE(SUBSTITUTE(_5__DAILY_USAGE_TREND[[#This Row],[TOTAL_DURATION]],"hour",":"),"min",""))</f>
        <v>0.7548611111111112</v>
      </c>
    </row>
    <row r="818" spans="1:8" x14ac:dyDescent="0.3">
      <c r="A818" s="1">
        <v>45943</v>
      </c>
      <c r="B818">
        <v>9</v>
      </c>
      <c r="C818">
        <v>6</v>
      </c>
      <c r="D818">
        <v>17</v>
      </c>
      <c r="E818">
        <v>7210</v>
      </c>
      <c r="F818">
        <v>9</v>
      </c>
      <c r="G818" t="s">
        <v>689</v>
      </c>
      <c r="H818">
        <f>TIMEVALUE(SUBSTITUTE(SUBSTITUTE(_5__DAILY_USAGE_TREND[[#This Row],[TOTAL_DURATION]],"hour",":"),"min",""))</f>
        <v>0.72847222222222219</v>
      </c>
    </row>
    <row r="819" spans="1:8" x14ac:dyDescent="0.3">
      <c r="A819" s="1">
        <v>45944</v>
      </c>
      <c r="B819">
        <v>10</v>
      </c>
      <c r="C819">
        <v>7</v>
      </c>
      <c r="D819">
        <v>25</v>
      </c>
      <c r="E819">
        <v>9315</v>
      </c>
      <c r="F819">
        <v>10</v>
      </c>
      <c r="G819" t="s">
        <v>690</v>
      </c>
      <c r="H819">
        <f>TIMEVALUE(SUBSTITUTE(SUBSTITUTE(_5__DAILY_USAGE_TREND[[#This Row],[TOTAL_DURATION]],"hour",":"),"min",""))</f>
        <v>0.13194444444444464</v>
      </c>
    </row>
    <row r="820" spans="1:8" x14ac:dyDescent="0.3">
      <c r="A820" s="1">
        <v>45945</v>
      </c>
      <c r="B820">
        <v>5</v>
      </c>
      <c r="C820">
        <v>3</v>
      </c>
      <c r="D820">
        <v>13</v>
      </c>
      <c r="E820">
        <v>5125</v>
      </c>
      <c r="F820">
        <v>5</v>
      </c>
      <c r="G820" t="s">
        <v>691</v>
      </c>
      <c r="H820">
        <f>TIMEVALUE(SUBSTITUTE(SUBSTITUTE(_5__DAILY_USAGE_TREND[[#This Row],[TOTAL_DURATION]],"hour",":"),"min",""))</f>
        <v>0.27569444444444446</v>
      </c>
    </row>
    <row r="821" spans="1:8" x14ac:dyDescent="0.3">
      <c r="A821" s="1">
        <v>45946</v>
      </c>
      <c r="B821">
        <v>7</v>
      </c>
      <c r="C821">
        <v>5</v>
      </c>
      <c r="D821">
        <v>21</v>
      </c>
      <c r="E821">
        <v>6864</v>
      </c>
      <c r="F821">
        <v>7</v>
      </c>
      <c r="G821" t="s">
        <v>692</v>
      </c>
      <c r="H821">
        <f>TIMEVALUE(SUBSTITUTE(SUBSTITUTE(_5__DAILY_USAGE_TREND[[#This Row],[TOTAL_DURATION]],"hour",":"),"min",""))</f>
        <v>0.60624999999999996</v>
      </c>
    </row>
    <row r="822" spans="1:8" x14ac:dyDescent="0.3">
      <c r="A822" s="1">
        <v>45947</v>
      </c>
      <c r="B822">
        <v>6</v>
      </c>
      <c r="C822">
        <v>5</v>
      </c>
      <c r="D822">
        <v>17</v>
      </c>
      <c r="E822">
        <v>5762</v>
      </c>
      <c r="F822">
        <v>6</v>
      </c>
      <c r="G822" t="s">
        <v>693</v>
      </c>
      <c r="H822">
        <f>TIMEVALUE(SUBSTITUTE(SUBSTITUTE(_5__DAILY_USAGE_TREND[[#This Row],[TOTAL_DURATION]],"hour",":"),"min",""))</f>
        <v>0.20902777777777781</v>
      </c>
    </row>
    <row r="823" spans="1:8" x14ac:dyDescent="0.3">
      <c r="A823" s="1">
        <v>45948</v>
      </c>
      <c r="B823">
        <v>10</v>
      </c>
      <c r="C823">
        <v>9</v>
      </c>
      <c r="D823">
        <v>26</v>
      </c>
      <c r="E823">
        <v>8919</v>
      </c>
      <c r="F823">
        <v>11</v>
      </c>
      <c r="G823" t="s">
        <v>613</v>
      </c>
      <c r="H823">
        <f>TIMEVALUE(SUBSTITUTE(SUBSTITUTE(_5__DAILY_USAGE_TREND[[#This Row],[TOTAL_DURATION]],"hour",":"),"min",""))</f>
        <v>0.20972222222222214</v>
      </c>
    </row>
    <row r="824" spans="1:8" x14ac:dyDescent="0.3">
      <c r="A824" s="1">
        <v>45949</v>
      </c>
      <c r="B824">
        <v>3</v>
      </c>
      <c r="C824">
        <v>3</v>
      </c>
      <c r="D824">
        <v>5</v>
      </c>
      <c r="E824">
        <v>1635</v>
      </c>
      <c r="F824">
        <v>3</v>
      </c>
      <c r="G824" t="s">
        <v>694</v>
      </c>
      <c r="H824">
        <f>TIMEVALUE(SUBSTITUTE(SUBSTITUTE(_5__DAILY_USAGE_TREND[[#This Row],[TOTAL_DURATION]],"hour",":"),"min",""))</f>
        <v>0.3840277777777778</v>
      </c>
    </row>
    <row r="825" spans="1:8" x14ac:dyDescent="0.3">
      <c r="A825" s="1">
        <v>45950</v>
      </c>
      <c r="B825">
        <v>9</v>
      </c>
      <c r="C825">
        <v>7</v>
      </c>
      <c r="D825">
        <v>21</v>
      </c>
      <c r="E825">
        <v>7099</v>
      </c>
      <c r="F825">
        <v>9</v>
      </c>
      <c r="G825" t="s">
        <v>695</v>
      </c>
      <c r="H825">
        <f>TIMEVALUE(SUBSTITUTE(SUBSTITUTE(_5__DAILY_USAGE_TREND[[#This Row],[TOTAL_DURATION]],"hour",":"),"min",""))</f>
        <v>3.819444444444442E-2</v>
      </c>
    </row>
    <row r="826" spans="1:8" x14ac:dyDescent="0.3">
      <c r="A826" s="1">
        <v>45951</v>
      </c>
      <c r="B826">
        <v>3</v>
      </c>
      <c r="C826">
        <v>3</v>
      </c>
      <c r="D826">
        <v>10</v>
      </c>
      <c r="E826">
        <v>4151</v>
      </c>
      <c r="F826">
        <v>3</v>
      </c>
      <c r="G826" t="s">
        <v>696</v>
      </c>
      <c r="H826">
        <f>TIMEVALUE(SUBSTITUTE(SUBSTITUTE(_5__DAILY_USAGE_TREND[[#This Row],[TOTAL_DURATION]],"hour",":"),"min",""))</f>
        <v>0.13472222222222222</v>
      </c>
    </row>
    <row r="827" spans="1:8" x14ac:dyDescent="0.3">
      <c r="A827" s="1">
        <v>45952</v>
      </c>
      <c r="B827">
        <v>10</v>
      </c>
      <c r="C827">
        <v>7</v>
      </c>
      <c r="D827">
        <v>26</v>
      </c>
      <c r="E827">
        <v>9705</v>
      </c>
      <c r="F827">
        <v>10</v>
      </c>
      <c r="G827" t="s">
        <v>697</v>
      </c>
      <c r="H827">
        <f>TIMEVALUE(SUBSTITUTE(SUBSTITUTE(_5__DAILY_USAGE_TREND[[#This Row],[TOTAL_DURATION]],"hour",":"),"min",""))</f>
        <v>0.27430555555555558</v>
      </c>
    </row>
    <row r="828" spans="1:8" x14ac:dyDescent="0.3">
      <c r="A828" s="1">
        <v>45953</v>
      </c>
      <c r="B828">
        <v>4</v>
      </c>
      <c r="C828">
        <v>3</v>
      </c>
      <c r="D828">
        <v>9</v>
      </c>
      <c r="E828">
        <v>2701</v>
      </c>
      <c r="F828">
        <v>4</v>
      </c>
      <c r="G828" t="s">
        <v>472</v>
      </c>
      <c r="H828">
        <f>TIMEVALUE(SUBSTITUTE(SUBSTITUTE(_5__DAILY_USAGE_TREND[[#This Row],[TOTAL_DURATION]],"hour",":"),"min",""))</f>
        <v>0.58472222222222225</v>
      </c>
    </row>
    <row r="829" spans="1:8" x14ac:dyDescent="0.3">
      <c r="A829" s="1">
        <v>45954</v>
      </c>
      <c r="B829">
        <v>10</v>
      </c>
      <c r="C829">
        <v>6</v>
      </c>
      <c r="D829">
        <v>19</v>
      </c>
      <c r="E829">
        <v>8002</v>
      </c>
      <c r="F829">
        <v>10</v>
      </c>
      <c r="G829" t="s">
        <v>437</v>
      </c>
      <c r="H829">
        <f>TIMEVALUE(SUBSTITUTE(SUBSTITUTE(_5__DAILY_USAGE_TREND[[#This Row],[TOTAL_DURATION]],"hour",":"),"min",""))</f>
        <v>0.97986111111111107</v>
      </c>
    </row>
    <row r="830" spans="1:8" x14ac:dyDescent="0.3">
      <c r="A830" s="1">
        <v>45955</v>
      </c>
      <c r="B830">
        <v>17</v>
      </c>
      <c r="C830">
        <v>7</v>
      </c>
      <c r="D830">
        <v>37</v>
      </c>
      <c r="E830">
        <v>14472</v>
      </c>
      <c r="F830">
        <v>17</v>
      </c>
      <c r="G830" t="s">
        <v>698</v>
      </c>
      <c r="H830">
        <f>TIMEVALUE(SUBSTITUTE(SUBSTITUTE(_5__DAILY_USAGE_TREND[[#This Row],[TOTAL_DURATION]],"hour",":"),"min",""))</f>
        <v>0.96805555555555545</v>
      </c>
    </row>
    <row r="831" spans="1:8" x14ac:dyDescent="0.3">
      <c r="A831" s="1">
        <v>45956</v>
      </c>
      <c r="B831">
        <v>6</v>
      </c>
      <c r="C831">
        <v>6</v>
      </c>
      <c r="D831">
        <v>13</v>
      </c>
      <c r="E831">
        <v>4313</v>
      </c>
      <c r="F831">
        <v>6</v>
      </c>
      <c r="G831" t="s">
        <v>699</v>
      </c>
      <c r="H831">
        <f>TIMEVALUE(SUBSTITUTE(SUBSTITUTE(_5__DAILY_USAGE_TREND[[#This Row],[TOTAL_DURATION]],"hour",":"),"min",""))</f>
        <v>2.9166666666666563E-2</v>
      </c>
    </row>
    <row r="832" spans="1:8" x14ac:dyDescent="0.3">
      <c r="A832" s="1">
        <v>45957</v>
      </c>
      <c r="B832">
        <v>8</v>
      </c>
      <c r="C832">
        <v>6</v>
      </c>
      <c r="D832">
        <v>17</v>
      </c>
      <c r="E832">
        <v>5063</v>
      </c>
      <c r="F832">
        <v>8</v>
      </c>
      <c r="G832" t="s">
        <v>128</v>
      </c>
      <c r="H832">
        <f>TIMEVALUE(SUBSTITUTE(SUBSTITUTE(_5__DAILY_USAGE_TREND[[#This Row],[TOTAL_DURATION]],"hour",":"),"min",""))</f>
        <v>0.54791666666666672</v>
      </c>
    </row>
    <row r="833" spans="1:8" x14ac:dyDescent="0.3">
      <c r="A833" s="1">
        <v>45958</v>
      </c>
      <c r="B833">
        <v>6</v>
      </c>
      <c r="C833">
        <v>4</v>
      </c>
      <c r="D833">
        <v>10</v>
      </c>
      <c r="E833">
        <v>3700</v>
      </c>
      <c r="F833">
        <v>6</v>
      </c>
      <c r="G833" t="s">
        <v>700</v>
      </c>
      <c r="H833">
        <f>TIMEVALUE(SUBSTITUTE(SUBSTITUTE(_5__DAILY_USAGE_TREND[[#This Row],[TOTAL_DURATION]],"hour",":"),"min",""))</f>
        <v>0.14027777777777772</v>
      </c>
    </row>
    <row r="834" spans="1:8" x14ac:dyDescent="0.3">
      <c r="A834" s="1">
        <v>45959</v>
      </c>
      <c r="B834">
        <v>10</v>
      </c>
      <c r="C834">
        <v>7</v>
      </c>
      <c r="D834">
        <v>24</v>
      </c>
      <c r="E834">
        <v>8033</v>
      </c>
      <c r="F834">
        <v>10</v>
      </c>
      <c r="G834" t="s">
        <v>701</v>
      </c>
      <c r="H834">
        <f>TIMEVALUE(SUBSTITUTE(SUBSTITUTE(_5__DAILY_USAGE_TREND[[#This Row],[TOTAL_DURATION]],"hour",":"),"min",""))</f>
        <v>0.2104166666666667</v>
      </c>
    </row>
    <row r="835" spans="1:8" x14ac:dyDescent="0.3">
      <c r="A835" s="1">
        <v>45960</v>
      </c>
      <c r="B835">
        <v>7</v>
      </c>
      <c r="C835">
        <v>6</v>
      </c>
      <c r="D835">
        <v>16</v>
      </c>
      <c r="E835">
        <v>7108</v>
      </c>
      <c r="F835">
        <v>7</v>
      </c>
      <c r="G835" t="s">
        <v>702</v>
      </c>
      <c r="H835">
        <f>TIMEVALUE(SUBSTITUTE(SUBSTITUTE(_5__DAILY_USAGE_TREND[[#This Row],[TOTAL_DURATION]],"hour",":"),"min",""))</f>
        <v>0.93194444444444446</v>
      </c>
    </row>
    <row r="836" spans="1:8" x14ac:dyDescent="0.3">
      <c r="A836" s="1">
        <v>45961</v>
      </c>
      <c r="B836">
        <v>8</v>
      </c>
      <c r="C836">
        <v>6</v>
      </c>
      <c r="D836">
        <v>15</v>
      </c>
      <c r="E836">
        <v>4897</v>
      </c>
      <c r="F836">
        <v>8</v>
      </c>
      <c r="G836" t="s">
        <v>703</v>
      </c>
      <c r="H836">
        <f>TIMEVALUE(SUBSTITUTE(SUBSTITUTE(_5__DAILY_USAGE_TREND[[#This Row],[TOTAL_DURATION]],"hour",":"),"min",""))</f>
        <v>0.37152777777777768</v>
      </c>
    </row>
    <row r="837" spans="1:8" x14ac:dyDescent="0.3">
      <c r="A837" s="1">
        <v>45962</v>
      </c>
      <c r="B837">
        <v>11</v>
      </c>
      <c r="C837">
        <v>7</v>
      </c>
      <c r="D837">
        <v>22</v>
      </c>
      <c r="E837">
        <v>6814</v>
      </c>
      <c r="F837">
        <v>11</v>
      </c>
      <c r="G837" t="s">
        <v>704</v>
      </c>
      <c r="H837">
        <f>TIMEVALUE(SUBSTITUTE(SUBSTITUTE(_5__DAILY_USAGE_TREND[[#This Row],[TOTAL_DURATION]],"hour",":"),"min",""))</f>
        <v>0.17013888888888884</v>
      </c>
    </row>
    <row r="838" spans="1:8" x14ac:dyDescent="0.3">
      <c r="A838" s="1">
        <v>45963</v>
      </c>
      <c r="B838">
        <v>6</v>
      </c>
      <c r="C838">
        <v>4</v>
      </c>
      <c r="D838">
        <v>11</v>
      </c>
      <c r="E838">
        <v>4307</v>
      </c>
      <c r="F838">
        <v>6</v>
      </c>
      <c r="G838" t="s">
        <v>469</v>
      </c>
      <c r="H838">
        <f>TIMEVALUE(SUBSTITUTE(SUBSTITUTE(_5__DAILY_USAGE_TREND[[#This Row],[TOTAL_DURATION]],"hour",":"),"min",""))</f>
        <v>0.35833333333333334</v>
      </c>
    </row>
    <row r="839" spans="1:8" x14ac:dyDescent="0.3">
      <c r="A839" s="1">
        <v>45964</v>
      </c>
      <c r="B839">
        <v>8</v>
      </c>
      <c r="C839">
        <v>5</v>
      </c>
      <c r="D839">
        <v>18</v>
      </c>
      <c r="E839">
        <v>6928</v>
      </c>
      <c r="F839">
        <v>8</v>
      </c>
      <c r="G839" t="s">
        <v>705</v>
      </c>
      <c r="H839">
        <f>TIMEVALUE(SUBSTITUTE(SUBSTITUTE(_5__DAILY_USAGE_TREND[[#This Row],[TOTAL_DURATION]],"hour",":"),"min",""))</f>
        <v>0.14097222222222228</v>
      </c>
    </row>
    <row r="840" spans="1:8" x14ac:dyDescent="0.3">
      <c r="A840" s="1">
        <v>45965</v>
      </c>
      <c r="B840">
        <v>8</v>
      </c>
      <c r="C840">
        <v>5</v>
      </c>
      <c r="D840">
        <v>17</v>
      </c>
      <c r="E840">
        <v>6278</v>
      </c>
      <c r="F840">
        <v>8</v>
      </c>
      <c r="G840" t="s">
        <v>386</v>
      </c>
      <c r="H840">
        <f>TIMEVALUE(SUBSTITUTE(SUBSTITUTE(_5__DAILY_USAGE_TREND[[#This Row],[TOTAL_DURATION]],"hour",":"),"min",""))</f>
        <v>0.99444444444444446</v>
      </c>
    </row>
    <row r="841" spans="1:8" x14ac:dyDescent="0.3">
      <c r="A841" s="1">
        <v>45966</v>
      </c>
      <c r="B841">
        <v>7</v>
      </c>
      <c r="C841">
        <v>5</v>
      </c>
      <c r="D841">
        <v>13</v>
      </c>
      <c r="E841">
        <v>5305</v>
      </c>
      <c r="F841">
        <v>7</v>
      </c>
      <c r="G841" t="s">
        <v>86</v>
      </c>
      <c r="H841">
        <f>TIMEVALUE(SUBSTITUTE(SUBSTITUTE(_5__DAILY_USAGE_TREND[[#This Row],[TOTAL_DURATION]],"hour",":"),"min",""))</f>
        <v>0.44861111111111113</v>
      </c>
    </row>
    <row r="842" spans="1:8" x14ac:dyDescent="0.3">
      <c r="A842" s="1">
        <v>45967</v>
      </c>
      <c r="B842">
        <v>4</v>
      </c>
      <c r="C842">
        <v>4</v>
      </c>
      <c r="D842">
        <v>12</v>
      </c>
      <c r="E842">
        <v>3597</v>
      </c>
      <c r="F842">
        <v>4</v>
      </c>
      <c r="G842" t="s">
        <v>706</v>
      </c>
      <c r="H842">
        <f>TIMEVALUE(SUBSTITUTE(SUBSTITUTE(_5__DAILY_USAGE_TREND[[#This Row],[TOTAL_DURATION]],"hour",":"),"min",""))</f>
        <v>1.388888888888884E-2</v>
      </c>
    </row>
    <row r="843" spans="1:8" x14ac:dyDescent="0.3">
      <c r="A843" s="1">
        <v>45968</v>
      </c>
      <c r="B843">
        <v>6</v>
      </c>
      <c r="C843">
        <v>5</v>
      </c>
      <c r="D843">
        <v>10</v>
      </c>
      <c r="E843">
        <v>3353</v>
      </c>
      <c r="F843">
        <v>6</v>
      </c>
      <c r="G843" t="s">
        <v>707</v>
      </c>
      <c r="H843">
        <f>TIMEVALUE(SUBSTITUTE(SUBSTITUTE(_5__DAILY_USAGE_TREND[[#This Row],[TOTAL_DURATION]],"hour",":"),"min",""))</f>
        <v>0.8833333333333333</v>
      </c>
    </row>
    <row r="844" spans="1:8" x14ac:dyDescent="0.3">
      <c r="A844" s="1">
        <v>45969</v>
      </c>
      <c r="B844">
        <v>6</v>
      </c>
      <c r="C844">
        <v>4</v>
      </c>
      <c r="D844">
        <v>19</v>
      </c>
      <c r="E844">
        <v>6452</v>
      </c>
      <c r="F844">
        <v>6</v>
      </c>
      <c r="G844" t="s">
        <v>708</v>
      </c>
      <c r="H844">
        <f>TIMEVALUE(SUBSTITUTE(SUBSTITUTE(_5__DAILY_USAGE_TREND[[#This Row],[TOTAL_DURATION]],"hour",":"),"min",""))</f>
        <v>4.3749999999999956E-2</v>
      </c>
    </row>
    <row r="845" spans="1:8" x14ac:dyDescent="0.3">
      <c r="A845" s="1">
        <v>45970</v>
      </c>
      <c r="B845">
        <v>10</v>
      </c>
      <c r="C845">
        <v>8</v>
      </c>
      <c r="D845">
        <v>23</v>
      </c>
      <c r="E845">
        <v>7466</v>
      </c>
      <c r="F845">
        <v>10</v>
      </c>
      <c r="G845" t="s">
        <v>709</v>
      </c>
      <c r="H845">
        <f>TIMEVALUE(SUBSTITUTE(SUBSTITUTE(_5__DAILY_USAGE_TREND[[#This Row],[TOTAL_DURATION]],"hour",":"),"min",""))</f>
        <v>0.61319444444444438</v>
      </c>
    </row>
    <row r="846" spans="1:8" x14ac:dyDescent="0.3">
      <c r="A846" s="1">
        <v>45971</v>
      </c>
      <c r="B846">
        <v>9</v>
      </c>
      <c r="C846">
        <v>7</v>
      </c>
      <c r="D846">
        <v>24</v>
      </c>
      <c r="E846">
        <v>8058</v>
      </c>
      <c r="F846">
        <v>9</v>
      </c>
      <c r="G846" t="s">
        <v>710</v>
      </c>
      <c r="H846">
        <f>TIMEVALUE(SUBSTITUTE(SUBSTITUTE(_5__DAILY_USAGE_TREND[[#This Row],[TOTAL_DURATION]],"hour",":"),"min",""))</f>
        <v>0.89513888888888893</v>
      </c>
    </row>
    <row r="847" spans="1:8" x14ac:dyDescent="0.3">
      <c r="A847" s="1">
        <v>45972</v>
      </c>
      <c r="B847">
        <v>4</v>
      </c>
      <c r="C847">
        <v>4</v>
      </c>
      <c r="D847">
        <v>7</v>
      </c>
      <c r="E847">
        <v>2711</v>
      </c>
      <c r="F847">
        <v>4</v>
      </c>
      <c r="G847" t="s">
        <v>711</v>
      </c>
      <c r="H847">
        <f>TIMEVALUE(SUBSTITUTE(SUBSTITUTE(_5__DAILY_USAGE_TREND[[#This Row],[TOTAL_DURATION]],"hour",":"),"min",""))</f>
        <v>0.61458333333333337</v>
      </c>
    </row>
    <row r="848" spans="1:8" x14ac:dyDescent="0.3">
      <c r="A848" s="1">
        <v>45973</v>
      </c>
      <c r="B848">
        <v>12</v>
      </c>
      <c r="C848">
        <v>8</v>
      </c>
      <c r="D848">
        <v>25</v>
      </c>
      <c r="E848">
        <v>9097</v>
      </c>
      <c r="F848">
        <v>13</v>
      </c>
      <c r="G848" t="s">
        <v>712</v>
      </c>
      <c r="H848">
        <f>TIMEVALUE(SUBSTITUTE(SUBSTITUTE(_5__DAILY_USAGE_TREND[[#This Row],[TOTAL_DURATION]],"hour",":"),"min",""))</f>
        <v>5.6944444444444464E-2</v>
      </c>
    </row>
    <row r="849" spans="1:8" x14ac:dyDescent="0.3">
      <c r="A849" s="1">
        <v>45974</v>
      </c>
      <c r="B849">
        <v>8</v>
      </c>
      <c r="C849">
        <v>5</v>
      </c>
      <c r="D849">
        <v>16</v>
      </c>
      <c r="E849">
        <v>7099</v>
      </c>
      <c r="F849">
        <v>8</v>
      </c>
      <c r="G849" t="s">
        <v>328</v>
      </c>
      <c r="H849">
        <f>TIMEVALUE(SUBSTITUTE(SUBSTITUTE(_5__DAILY_USAGE_TREND[[#This Row],[TOTAL_DURATION]],"hour",":"),"min",""))</f>
        <v>0.3125</v>
      </c>
    </row>
    <row r="850" spans="1:8" x14ac:dyDescent="0.3">
      <c r="A850" s="1">
        <v>45975</v>
      </c>
      <c r="B850">
        <v>7</v>
      </c>
      <c r="C850">
        <v>5</v>
      </c>
      <c r="D850">
        <v>12</v>
      </c>
      <c r="E850">
        <v>5614</v>
      </c>
      <c r="F850">
        <v>7</v>
      </c>
      <c r="G850" t="s">
        <v>713</v>
      </c>
      <c r="H850">
        <f>TIMEVALUE(SUBSTITUTE(SUBSTITUTE(_5__DAILY_USAGE_TREND[[#This Row],[TOTAL_DURATION]],"hour",":"),"min",""))</f>
        <v>0.65347222222222223</v>
      </c>
    </row>
    <row r="851" spans="1:8" x14ac:dyDescent="0.3">
      <c r="A851" s="1">
        <v>45976</v>
      </c>
      <c r="B851">
        <v>8</v>
      </c>
      <c r="C851">
        <v>6</v>
      </c>
      <c r="D851">
        <v>15</v>
      </c>
      <c r="E851">
        <v>5723</v>
      </c>
      <c r="F851">
        <v>8</v>
      </c>
      <c r="G851" t="s">
        <v>714</v>
      </c>
      <c r="H851">
        <f>TIMEVALUE(SUBSTITUTE(SUBSTITUTE(_5__DAILY_USAGE_TREND[[#This Row],[TOTAL_DURATION]],"hour",":"),"min",""))</f>
        <v>0.52013888888888893</v>
      </c>
    </row>
    <row r="852" spans="1:8" x14ac:dyDescent="0.3">
      <c r="A852" s="1">
        <v>45977</v>
      </c>
      <c r="B852">
        <v>7</v>
      </c>
      <c r="C852">
        <v>5</v>
      </c>
      <c r="D852">
        <v>11</v>
      </c>
      <c r="E852">
        <v>3627</v>
      </c>
      <c r="F852">
        <v>7</v>
      </c>
      <c r="G852" t="s">
        <v>715</v>
      </c>
      <c r="H852">
        <f>TIMEVALUE(SUBSTITUTE(SUBSTITUTE(_5__DAILY_USAGE_TREND[[#This Row],[TOTAL_DURATION]],"hour",":"),"min",""))</f>
        <v>0.3659722222222222</v>
      </c>
    </row>
    <row r="853" spans="1:8" x14ac:dyDescent="0.3">
      <c r="A853" s="1">
        <v>45978</v>
      </c>
      <c r="B853">
        <v>9</v>
      </c>
      <c r="C853">
        <v>6</v>
      </c>
      <c r="D853">
        <v>29</v>
      </c>
      <c r="E853">
        <v>9967</v>
      </c>
      <c r="F853">
        <v>11</v>
      </c>
      <c r="G853" t="s">
        <v>681</v>
      </c>
      <c r="H853">
        <f>TIMEVALUE(SUBSTITUTE(SUBSTITUTE(_5__DAILY_USAGE_TREND[[#This Row],[TOTAL_DURATION]],"hour",":"),"min",""))</f>
        <v>0.8520833333333333</v>
      </c>
    </row>
    <row r="854" spans="1:8" x14ac:dyDescent="0.3">
      <c r="A854" s="1">
        <v>45979</v>
      </c>
      <c r="B854">
        <v>7</v>
      </c>
      <c r="C854">
        <v>7</v>
      </c>
      <c r="D854">
        <v>20</v>
      </c>
      <c r="E854">
        <v>7727</v>
      </c>
      <c r="F854">
        <v>7</v>
      </c>
      <c r="G854" t="s">
        <v>716</v>
      </c>
      <c r="H854">
        <f>TIMEVALUE(SUBSTITUTE(SUBSTITUTE(_5__DAILY_USAGE_TREND[[#This Row],[TOTAL_DURATION]],"hour",":"),"min",""))</f>
        <v>0.80625000000000002</v>
      </c>
    </row>
    <row r="855" spans="1:8" x14ac:dyDescent="0.3">
      <c r="A855" s="1">
        <v>45980</v>
      </c>
      <c r="B855">
        <v>6</v>
      </c>
      <c r="C855">
        <v>4</v>
      </c>
      <c r="D855">
        <v>15</v>
      </c>
      <c r="E855">
        <v>4002</v>
      </c>
      <c r="F855">
        <v>6</v>
      </c>
      <c r="G855" t="s">
        <v>717</v>
      </c>
      <c r="H855">
        <f>TIMEVALUE(SUBSTITUTE(SUBSTITUTE(_5__DAILY_USAGE_TREND[[#This Row],[TOTAL_DURATION]],"hour",":"),"min",""))</f>
        <v>0.91319444444444442</v>
      </c>
    </row>
    <row r="856" spans="1:8" x14ac:dyDescent="0.3">
      <c r="A856" s="1">
        <v>45981</v>
      </c>
      <c r="B856">
        <v>11</v>
      </c>
      <c r="C856">
        <v>7</v>
      </c>
      <c r="D856">
        <v>26</v>
      </c>
      <c r="E856">
        <v>10036</v>
      </c>
      <c r="F856">
        <v>11</v>
      </c>
      <c r="G856" t="s">
        <v>718</v>
      </c>
      <c r="H856">
        <f>TIMEVALUE(SUBSTITUTE(SUBSTITUTE(_5__DAILY_USAGE_TREND[[#This Row],[TOTAL_DURATION]],"hour",":"),"min",""))</f>
        <v>0.26388888888888884</v>
      </c>
    </row>
    <row r="857" spans="1:8" x14ac:dyDescent="0.3">
      <c r="A857" s="1">
        <v>45982</v>
      </c>
      <c r="B857">
        <v>7</v>
      </c>
      <c r="C857">
        <v>5</v>
      </c>
      <c r="D857">
        <v>15</v>
      </c>
      <c r="E857">
        <v>4720</v>
      </c>
      <c r="F857">
        <v>7</v>
      </c>
      <c r="G857" t="s">
        <v>719</v>
      </c>
      <c r="H857">
        <f>TIMEVALUE(SUBSTITUTE(SUBSTITUTE(_5__DAILY_USAGE_TREND[[#This Row],[TOTAL_DURATION]],"hour",":"),"min",""))</f>
        <v>0.41597222222222224</v>
      </c>
    </row>
    <row r="858" spans="1:8" x14ac:dyDescent="0.3">
      <c r="A858" s="1">
        <v>45983</v>
      </c>
      <c r="B858">
        <v>10</v>
      </c>
      <c r="C858">
        <v>5</v>
      </c>
      <c r="D858">
        <v>21</v>
      </c>
      <c r="E858">
        <v>7042</v>
      </c>
      <c r="F858">
        <v>10</v>
      </c>
      <c r="G858" t="s">
        <v>720</v>
      </c>
      <c r="H858">
        <f>TIMEVALUE(SUBSTITUTE(SUBSTITUTE(_5__DAILY_USAGE_TREND[[#This Row],[TOTAL_DURATION]],"hour",":"),"min",""))</f>
        <v>0.79791666666666661</v>
      </c>
    </row>
    <row r="859" spans="1:8" x14ac:dyDescent="0.3">
      <c r="A859" s="1">
        <v>45984</v>
      </c>
      <c r="B859">
        <v>5</v>
      </c>
      <c r="C859">
        <v>4</v>
      </c>
      <c r="D859">
        <v>13</v>
      </c>
      <c r="E859">
        <v>5467</v>
      </c>
      <c r="F859">
        <v>5</v>
      </c>
      <c r="G859" t="s">
        <v>253</v>
      </c>
      <c r="H859">
        <f>TIMEVALUE(SUBSTITUTE(SUBSTITUTE(_5__DAILY_USAGE_TREND[[#This Row],[TOTAL_DURATION]],"hour",":"),"min",""))</f>
        <v>0.44583333333333336</v>
      </c>
    </row>
    <row r="860" spans="1:8" x14ac:dyDescent="0.3">
      <c r="A860" s="1">
        <v>45985</v>
      </c>
      <c r="B860">
        <v>10</v>
      </c>
      <c r="C860">
        <v>8</v>
      </c>
      <c r="D860">
        <v>18</v>
      </c>
      <c r="E860">
        <v>6812</v>
      </c>
      <c r="F860">
        <v>10</v>
      </c>
      <c r="G860" t="s">
        <v>721</v>
      </c>
      <c r="H860">
        <f>TIMEVALUE(SUBSTITUTE(SUBSTITUTE(_5__DAILY_USAGE_TREND[[#This Row],[TOTAL_DURATION]],"hour",":"),"min",""))</f>
        <v>0.72222222222222221</v>
      </c>
    </row>
    <row r="861" spans="1:8" x14ac:dyDescent="0.3">
      <c r="A861" s="1">
        <v>45986</v>
      </c>
      <c r="B861">
        <v>16</v>
      </c>
      <c r="C861">
        <v>8</v>
      </c>
      <c r="D861">
        <v>43</v>
      </c>
      <c r="E861">
        <v>14608</v>
      </c>
      <c r="F861">
        <v>16</v>
      </c>
      <c r="G861" t="s">
        <v>722</v>
      </c>
      <c r="H861">
        <f>TIMEVALUE(SUBSTITUTE(SUBSTITUTE(_5__DAILY_USAGE_TREND[[#This Row],[TOTAL_DURATION]],"hour",":"),"min",""))</f>
        <v>0.17708333333333348</v>
      </c>
    </row>
    <row r="862" spans="1:8" x14ac:dyDescent="0.3">
      <c r="A862" s="1">
        <v>45987</v>
      </c>
      <c r="B862">
        <v>10</v>
      </c>
      <c r="C862">
        <v>7</v>
      </c>
      <c r="D862">
        <v>18</v>
      </c>
      <c r="E862">
        <v>5241</v>
      </c>
      <c r="F862">
        <v>10</v>
      </c>
      <c r="G862" t="s">
        <v>723</v>
      </c>
      <c r="H862">
        <f>TIMEVALUE(SUBSTITUTE(SUBSTITUTE(_5__DAILY_USAGE_TREND[[#This Row],[TOTAL_DURATION]],"hour",":"),"min",""))</f>
        <v>0.72777777777777775</v>
      </c>
    </row>
    <row r="863" spans="1:8" x14ac:dyDescent="0.3">
      <c r="A863" s="1">
        <v>45988</v>
      </c>
      <c r="B863">
        <v>10</v>
      </c>
      <c r="C863">
        <v>6</v>
      </c>
      <c r="D863">
        <v>21</v>
      </c>
      <c r="E863">
        <v>6874</v>
      </c>
      <c r="F863">
        <v>10</v>
      </c>
      <c r="G863" t="s">
        <v>724</v>
      </c>
      <c r="H863">
        <f>TIMEVALUE(SUBSTITUTE(SUBSTITUTE(_5__DAILY_USAGE_TREND[[#This Row],[TOTAL_DURATION]],"hour",":"),"min",""))</f>
        <v>0.54027777777777786</v>
      </c>
    </row>
    <row r="864" spans="1:8" x14ac:dyDescent="0.3">
      <c r="A864" s="1">
        <v>45989</v>
      </c>
      <c r="B864">
        <v>12</v>
      </c>
      <c r="C864">
        <v>9</v>
      </c>
      <c r="D864">
        <v>27</v>
      </c>
      <c r="E864">
        <v>9654</v>
      </c>
      <c r="F864">
        <v>12</v>
      </c>
      <c r="G864" t="s">
        <v>725</v>
      </c>
      <c r="H864">
        <f>TIMEVALUE(SUBSTITUTE(SUBSTITUTE(_5__DAILY_USAGE_TREND[[#This Row],[TOTAL_DURATION]],"hour",":"),"min",""))</f>
        <v>1.8055555555555491E-2</v>
      </c>
    </row>
    <row r="865" spans="1:8" x14ac:dyDescent="0.3">
      <c r="A865" s="1">
        <v>45990</v>
      </c>
      <c r="B865">
        <v>10</v>
      </c>
      <c r="C865">
        <v>7</v>
      </c>
      <c r="D865">
        <v>20</v>
      </c>
      <c r="E865">
        <v>8538</v>
      </c>
      <c r="F865">
        <v>10</v>
      </c>
      <c r="G865" t="s">
        <v>726</v>
      </c>
      <c r="H865">
        <f>TIMEVALUE(SUBSTITUTE(SUBSTITUTE(_5__DAILY_USAGE_TREND[[#This Row],[TOTAL_DURATION]],"hour",":"),"min",""))</f>
        <v>4.513888888888884E-2</v>
      </c>
    </row>
    <row r="866" spans="1:8" x14ac:dyDescent="0.3">
      <c r="A866" s="1">
        <v>45991</v>
      </c>
      <c r="B866">
        <v>12</v>
      </c>
      <c r="C866">
        <v>6</v>
      </c>
      <c r="D866">
        <v>30</v>
      </c>
      <c r="E866">
        <v>8932</v>
      </c>
      <c r="F866">
        <v>12</v>
      </c>
      <c r="G866" t="s">
        <v>727</v>
      </c>
      <c r="H866">
        <f>TIMEVALUE(SUBSTITUTE(SUBSTITUTE(_5__DAILY_USAGE_TREND[[#This Row],[TOTAL_DURATION]],"hour",":"),"min",""))</f>
        <v>0.75069444444444444</v>
      </c>
    </row>
    <row r="867" spans="1:8" x14ac:dyDescent="0.3">
      <c r="A867" s="1">
        <v>45992</v>
      </c>
      <c r="B867">
        <v>11</v>
      </c>
      <c r="C867">
        <v>7</v>
      </c>
      <c r="D867">
        <v>26</v>
      </c>
      <c r="E867">
        <v>9553</v>
      </c>
      <c r="F867">
        <v>11</v>
      </c>
      <c r="G867" t="s">
        <v>728</v>
      </c>
      <c r="H867">
        <f>TIMEVALUE(SUBSTITUTE(SUBSTITUTE(_5__DAILY_USAGE_TREND[[#This Row],[TOTAL_DURATION]],"hour",":"),"min",""))</f>
        <v>0.30138888888888893</v>
      </c>
    </row>
    <row r="868" spans="1:8" x14ac:dyDescent="0.3">
      <c r="A868" s="1">
        <v>45993</v>
      </c>
      <c r="B868">
        <v>11</v>
      </c>
      <c r="C868">
        <v>8</v>
      </c>
      <c r="D868">
        <v>18</v>
      </c>
      <c r="E868">
        <v>5348</v>
      </c>
      <c r="F868">
        <v>11</v>
      </c>
      <c r="G868" t="s">
        <v>729</v>
      </c>
      <c r="H868">
        <f>TIMEVALUE(SUBSTITUTE(SUBSTITUTE(_5__DAILY_USAGE_TREND[[#This Row],[TOTAL_DURATION]],"hour",":"),"min",""))</f>
        <v>0.65277777777777779</v>
      </c>
    </row>
    <row r="869" spans="1:8" x14ac:dyDescent="0.3">
      <c r="A869" s="1">
        <v>45994</v>
      </c>
      <c r="B869">
        <v>10</v>
      </c>
      <c r="C869">
        <v>5</v>
      </c>
      <c r="D869">
        <v>23</v>
      </c>
      <c r="E869">
        <v>7074</v>
      </c>
      <c r="F869">
        <v>10</v>
      </c>
      <c r="G869" t="s">
        <v>730</v>
      </c>
      <c r="H869">
        <f>TIMEVALUE(SUBSTITUTE(SUBSTITUTE(_5__DAILY_USAGE_TREND[[#This Row],[TOTAL_DURATION]],"hour",":"),"min",""))</f>
        <v>0.63749999999999996</v>
      </c>
    </row>
    <row r="870" spans="1:8" x14ac:dyDescent="0.3">
      <c r="A870" s="1">
        <v>45995</v>
      </c>
      <c r="B870">
        <v>6</v>
      </c>
      <c r="C870">
        <v>4</v>
      </c>
      <c r="D870">
        <v>15</v>
      </c>
      <c r="E870">
        <v>4952</v>
      </c>
      <c r="F870">
        <v>6</v>
      </c>
      <c r="G870" t="s">
        <v>624</v>
      </c>
      <c r="H870">
        <f>TIMEVALUE(SUBSTITUTE(SUBSTITUTE(_5__DAILY_USAGE_TREND[[#This Row],[TOTAL_DURATION]],"hour",":"),"min",""))</f>
        <v>0.45555555555555555</v>
      </c>
    </row>
    <row r="871" spans="1:8" x14ac:dyDescent="0.3">
      <c r="A871" s="1">
        <v>45996</v>
      </c>
      <c r="B871">
        <v>12</v>
      </c>
      <c r="C871">
        <v>8</v>
      </c>
      <c r="D871">
        <v>35</v>
      </c>
      <c r="E871">
        <v>9762</v>
      </c>
      <c r="F871">
        <v>12</v>
      </c>
      <c r="G871" t="s">
        <v>731</v>
      </c>
      <c r="H871">
        <f>TIMEVALUE(SUBSTITUTE(SUBSTITUTE(_5__DAILY_USAGE_TREND[[#This Row],[TOTAL_DURATION]],"hour",":"),"min",""))</f>
        <v>0.33333333333333348</v>
      </c>
    </row>
    <row r="872" spans="1:8" x14ac:dyDescent="0.3">
      <c r="A872" s="1">
        <v>45997</v>
      </c>
      <c r="B872">
        <v>4</v>
      </c>
      <c r="C872">
        <v>4</v>
      </c>
      <c r="D872">
        <v>7</v>
      </c>
      <c r="E872">
        <v>1535</v>
      </c>
      <c r="F872">
        <v>4</v>
      </c>
      <c r="G872" t="s">
        <v>732</v>
      </c>
      <c r="H872">
        <f>TIMEVALUE(SUBSTITUTE(SUBSTITUTE(_5__DAILY_USAGE_TREND[[#This Row],[TOTAL_DURATION]],"hour",":"),"min",""))</f>
        <v>0.19375000000000001</v>
      </c>
    </row>
    <row r="873" spans="1:8" x14ac:dyDescent="0.3">
      <c r="A873" s="1">
        <v>45998</v>
      </c>
      <c r="B873">
        <v>7</v>
      </c>
      <c r="C873">
        <v>6</v>
      </c>
      <c r="D873">
        <v>19</v>
      </c>
      <c r="E873">
        <v>6470</v>
      </c>
      <c r="F873">
        <v>7</v>
      </c>
      <c r="G873" t="s">
        <v>733</v>
      </c>
      <c r="H873">
        <f>TIMEVALUE(SUBSTITUTE(SUBSTITUTE(_5__DAILY_USAGE_TREND[[#This Row],[TOTAL_DURATION]],"hour",":"),"min",""))</f>
        <v>0.81111111111111112</v>
      </c>
    </row>
    <row r="874" spans="1:8" x14ac:dyDescent="0.3">
      <c r="A874" s="1">
        <v>45999</v>
      </c>
      <c r="B874">
        <v>7</v>
      </c>
      <c r="C874">
        <v>6</v>
      </c>
      <c r="D874">
        <v>18</v>
      </c>
      <c r="E874">
        <v>6188</v>
      </c>
      <c r="F874">
        <v>7</v>
      </c>
      <c r="G874" t="s">
        <v>399</v>
      </c>
      <c r="H874">
        <f>TIMEVALUE(SUBSTITUTE(SUBSTITUTE(_5__DAILY_USAGE_TREND[[#This Row],[TOTAL_DURATION]],"hour",":"),"min",""))</f>
        <v>0.61319444444444449</v>
      </c>
    </row>
    <row r="875" spans="1:8" x14ac:dyDescent="0.3">
      <c r="A875" s="1">
        <v>46000</v>
      </c>
      <c r="B875">
        <v>9</v>
      </c>
      <c r="C875">
        <v>6</v>
      </c>
      <c r="D875">
        <v>26</v>
      </c>
      <c r="E875">
        <v>8488</v>
      </c>
      <c r="F875">
        <v>9</v>
      </c>
      <c r="G875" t="s">
        <v>506</v>
      </c>
      <c r="H875">
        <f>TIMEVALUE(SUBSTITUTE(SUBSTITUTE(_5__DAILY_USAGE_TREND[[#This Row],[TOTAL_DURATION]],"hour",":"),"min",""))</f>
        <v>0.77500000000000002</v>
      </c>
    </row>
    <row r="876" spans="1:8" x14ac:dyDescent="0.3">
      <c r="A876" s="1">
        <v>46001</v>
      </c>
      <c r="B876">
        <v>7</v>
      </c>
      <c r="C876">
        <v>5</v>
      </c>
      <c r="D876">
        <v>13</v>
      </c>
      <c r="E876">
        <v>5033</v>
      </c>
      <c r="F876">
        <v>7</v>
      </c>
      <c r="G876" t="s">
        <v>734</v>
      </c>
      <c r="H876">
        <f>TIMEVALUE(SUBSTITUTE(SUBSTITUTE(_5__DAILY_USAGE_TREND[[#This Row],[TOTAL_DURATION]],"hour",":"),"min",""))</f>
        <v>0.79236111111111107</v>
      </c>
    </row>
    <row r="877" spans="1:8" x14ac:dyDescent="0.3">
      <c r="A877" s="1">
        <v>46002</v>
      </c>
      <c r="B877">
        <v>13</v>
      </c>
      <c r="C877">
        <v>9</v>
      </c>
      <c r="D877">
        <v>28</v>
      </c>
      <c r="E877">
        <v>9109</v>
      </c>
      <c r="F877">
        <v>13</v>
      </c>
      <c r="G877" t="s">
        <v>735</v>
      </c>
      <c r="H877">
        <f>TIMEVALUE(SUBSTITUTE(SUBSTITUTE(_5__DAILY_USAGE_TREND[[#This Row],[TOTAL_DURATION]],"hour",":"),"min",""))</f>
        <v>0.76319444444444451</v>
      </c>
    </row>
    <row r="878" spans="1:8" x14ac:dyDescent="0.3">
      <c r="A878" s="1">
        <v>46003</v>
      </c>
      <c r="B878">
        <v>12</v>
      </c>
      <c r="C878">
        <v>6</v>
      </c>
      <c r="D878">
        <v>32</v>
      </c>
      <c r="E878">
        <v>12235</v>
      </c>
      <c r="F878">
        <v>12</v>
      </c>
      <c r="G878" t="s">
        <v>736</v>
      </c>
      <c r="H878">
        <f>TIMEVALUE(SUBSTITUTE(SUBSTITUTE(_5__DAILY_USAGE_TREND[[#This Row],[TOTAL_DURATION]],"hour",":"),"min",""))</f>
        <v>3.0555555555555447E-2</v>
      </c>
    </row>
    <row r="879" spans="1:8" x14ac:dyDescent="0.3">
      <c r="A879" s="1">
        <v>46004</v>
      </c>
      <c r="B879">
        <v>12</v>
      </c>
      <c r="C879">
        <v>7</v>
      </c>
      <c r="D879">
        <v>28</v>
      </c>
      <c r="E879">
        <v>9092</v>
      </c>
      <c r="F879">
        <v>12</v>
      </c>
      <c r="G879" t="s">
        <v>737</v>
      </c>
      <c r="H879">
        <f>TIMEVALUE(SUBSTITUTE(SUBSTITUTE(_5__DAILY_USAGE_TREND[[#This Row],[TOTAL_DURATION]],"hour",":"),"min",""))</f>
        <v>0.55069444444444438</v>
      </c>
    </row>
    <row r="880" spans="1:8" x14ac:dyDescent="0.3">
      <c r="A880" s="1">
        <v>46005</v>
      </c>
      <c r="B880">
        <v>13</v>
      </c>
      <c r="C880">
        <v>6</v>
      </c>
      <c r="D880">
        <v>26</v>
      </c>
      <c r="E880">
        <v>8876</v>
      </c>
      <c r="F880">
        <v>13</v>
      </c>
      <c r="G880" t="s">
        <v>738</v>
      </c>
      <c r="H880">
        <f>TIMEVALUE(SUBSTITUTE(SUBSTITUTE(_5__DAILY_USAGE_TREND[[#This Row],[TOTAL_DURATION]],"hour",":"),"min",""))</f>
        <v>0.36388888888888893</v>
      </c>
    </row>
    <row r="881" spans="1:8" x14ac:dyDescent="0.3">
      <c r="A881" s="1">
        <v>46006</v>
      </c>
      <c r="B881">
        <v>10</v>
      </c>
      <c r="C881">
        <v>6</v>
      </c>
      <c r="D881">
        <v>19</v>
      </c>
      <c r="E881">
        <v>6206</v>
      </c>
      <c r="F881">
        <v>10</v>
      </c>
      <c r="G881" t="s">
        <v>739</v>
      </c>
      <c r="H881">
        <f>TIMEVALUE(SUBSTITUTE(SUBSTITUTE(_5__DAILY_USAGE_TREND[[#This Row],[TOTAL_DURATION]],"hour",":"),"min",""))</f>
        <v>0.33888888888888902</v>
      </c>
    </row>
    <row r="882" spans="1:8" x14ac:dyDescent="0.3">
      <c r="A882" s="1">
        <v>46007</v>
      </c>
      <c r="B882">
        <v>8</v>
      </c>
      <c r="C882">
        <v>6</v>
      </c>
      <c r="D882">
        <v>15</v>
      </c>
      <c r="E882">
        <v>5200</v>
      </c>
      <c r="F882">
        <v>8</v>
      </c>
      <c r="G882" t="s">
        <v>740</v>
      </c>
      <c r="H882">
        <f>TIMEVALUE(SUBSTITUTE(SUBSTITUTE(_5__DAILY_USAGE_TREND[[#This Row],[TOTAL_DURATION]],"hour",":"),"min",""))</f>
        <v>0.89097222222222228</v>
      </c>
    </row>
    <row r="883" spans="1:8" x14ac:dyDescent="0.3">
      <c r="A883" s="1">
        <v>46008</v>
      </c>
      <c r="B883">
        <v>9</v>
      </c>
      <c r="C883">
        <v>4</v>
      </c>
      <c r="D883">
        <v>29</v>
      </c>
      <c r="E883">
        <v>10545</v>
      </c>
      <c r="F883">
        <v>9</v>
      </c>
      <c r="G883" t="s">
        <v>741</v>
      </c>
      <c r="H883">
        <f>TIMEVALUE(SUBSTITUTE(SUBSTITUTE(_5__DAILY_USAGE_TREND[[#This Row],[TOTAL_DURATION]],"hour",":"),"min",""))</f>
        <v>0.6791666666666667</v>
      </c>
    </row>
    <row r="884" spans="1:8" x14ac:dyDescent="0.3">
      <c r="A884" s="1">
        <v>46009</v>
      </c>
      <c r="B884">
        <v>3</v>
      </c>
      <c r="C884">
        <v>3</v>
      </c>
      <c r="D884">
        <v>8</v>
      </c>
      <c r="E884">
        <v>3220</v>
      </c>
      <c r="F884">
        <v>3</v>
      </c>
      <c r="G884" t="s">
        <v>742</v>
      </c>
      <c r="H884">
        <f>TIMEVALUE(SUBSTITUTE(SUBSTITUTE(_5__DAILY_USAGE_TREND[[#This Row],[TOTAL_DURATION]],"hour",":"),"min",""))</f>
        <v>0.42569444444444443</v>
      </c>
    </row>
    <row r="885" spans="1:8" x14ac:dyDescent="0.3">
      <c r="A885" s="1">
        <v>46010</v>
      </c>
      <c r="B885">
        <v>5</v>
      </c>
      <c r="C885">
        <v>3</v>
      </c>
      <c r="D885">
        <v>10</v>
      </c>
      <c r="E885">
        <v>3865</v>
      </c>
      <c r="F885">
        <v>5</v>
      </c>
      <c r="G885" t="s">
        <v>446</v>
      </c>
      <c r="H885">
        <f>TIMEVALUE(SUBSTITUTE(SUBSTITUTE(_5__DAILY_USAGE_TREND[[#This Row],[TOTAL_DURATION]],"hour",":"),"min",""))</f>
        <v>0.62083333333333335</v>
      </c>
    </row>
    <row r="886" spans="1:8" x14ac:dyDescent="0.3">
      <c r="A886" s="1">
        <v>46011</v>
      </c>
      <c r="B886">
        <v>6</v>
      </c>
      <c r="C886">
        <v>6</v>
      </c>
      <c r="D886">
        <v>11</v>
      </c>
      <c r="E886">
        <v>3697</v>
      </c>
      <c r="F886">
        <v>6</v>
      </c>
      <c r="G886" t="s">
        <v>743</v>
      </c>
      <c r="H886">
        <f>TIMEVALUE(SUBSTITUTE(SUBSTITUTE(_5__DAILY_USAGE_TREND[[#This Row],[TOTAL_DURATION]],"hour",":"),"min",""))</f>
        <v>0.73402777777777772</v>
      </c>
    </row>
    <row r="887" spans="1:8" x14ac:dyDescent="0.3">
      <c r="A887" s="1">
        <v>46012</v>
      </c>
      <c r="B887">
        <v>9</v>
      </c>
      <c r="C887">
        <v>5</v>
      </c>
      <c r="D887">
        <v>24</v>
      </c>
      <c r="E887">
        <v>7881</v>
      </c>
      <c r="F887">
        <v>9</v>
      </c>
      <c r="G887" t="s">
        <v>744</v>
      </c>
      <c r="H887">
        <f>TIMEVALUE(SUBSTITUTE(SUBSTITUTE(_5__DAILY_USAGE_TREND[[#This Row],[TOTAL_DURATION]],"hour",":"),"min",""))</f>
        <v>0.36111111111111116</v>
      </c>
    </row>
    <row r="888" spans="1:8" x14ac:dyDescent="0.3">
      <c r="A888" s="1">
        <v>46013</v>
      </c>
      <c r="B888">
        <v>8</v>
      </c>
      <c r="C888">
        <v>6</v>
      </c>
      <c r="D888">
        <v>24</v>
      </c>
      <c r="E888">
        <v>9101</v>
      </c>
      <c r="F888">
        <v>8</v>
      </c>
      <c r="G888" t="s">
        <v>745</v>
      </c>
      <c r="H888">
        <f>TIMEVALUE(SUBSTITUTE(SUBSTITUTE(_5__DAILY_USAGE_TREND[[#This Row],[TOTAL_DURATION]],"hour",":"),"min",""))</f>
        <v>0.42361111111111116</v>
      </c>
    </row>
    <row r="889" spans="1:8" x14ac:dyDescent="0.3">
      <c r="A889" s="1">
        <v>46014</v>
      </c>
      <c r="B889">
        <v>13</v>
      </c>
      <c r="C889">
        <v>9</v>
      </c>
      <c r="D889">
        <v>34</v>
      </c>
      <c r="E889">
        <v>14326</v>
      </c>
      <c r="F889">
        <v>14</v>
      </c>
      <c r="G889" t="s">
        <v>746</v>
      </c>
      <c r="H889">
        <f>TIMEVALUE(SUBSTITUTE(SUBSTITUTE(_5__DAILY_USAGE_TREND[[#This Row],[TOTAL_DURATION]],"hour",":"),"min",""))</f>
        <v>0.34027777777777768</v>
      </c>
    </row>
    <row r="890" spans="1:8" x14ac:dyDescent="0.3">
      <c r="A890" s="1">
        <v>46015</v>
      </c>
      <c r="B890">
        <v>10</v>
      </c>
      <c r="C890">
        <v>7</v>
      </c>
      <c r="D890">
        <v>26</v>
      </c>
      <c r="E890">
        <v>8878</v>
      </c>
      <c r="F890">
        <v>10</v>
      </c>
      <c r="G890" t="s">
        <v>747</v>
      </c>
      <c r="H890">
        <f>TIMEVALUE(SUBSTITUTE(SUBSTITUTE(_5__DAILY_USAGE_TREND[[#This Row],[TOTAL_DURATION]],"hour",":"),"min",""))</f>
        <v>0.875</v>
      </c>
    </row>
    <row r="891" spans="1:8" x14ac:dyDescent="0.3">
      <c r="A891" s="1">
        <v>46016</v>
      </c>
      <c r="B891">
        <v>6</v>
      </c>
      <c r="C891">
        <v>4</v>
      </c>
      <c r="D891">
        <v>8</v>
      </c>
      <c r="E891">
        <v>2462</v>
      </c>
      <c r="F891">
        <v>6</v>
      </c>
      <c r="G891" t="s">
        <v>671</v>
      </c>
      <c r="H891">
        <f>TIMEVALUE(SUBSTITUTE(SUBSTITUTE(_5__DAILY_USAGE_TREND[[#This Row],[TOTAL_DURATION]],"hour",":"),"min",""))</f>
        <v>0.57291666666666663</v>
      </c>
    </row>
    <row r="892" spans="1:8" x14ac:dyDescent="0.3">
      <c r="A892" s="1">
        <v>46017</v>
      </c>
      <c r="B892">
        <v>10</v>
      </c>
      <c r="C892">
        <v>4</v>
      </c>
      <c r="D892">
        <v>25</v>
      </c>
      <c r="E892">
        <v>9883</v>
      </c>
      <c r="F892">
        <v>10</v>
      </c>
      <c r="G892" t="s">
        <v>748</v>
      </c>
      <c r="H892">
        <f>TIMEVALUE(SUBSTITUTE(SUBSTITUTE(_5__DAILY_USAGE_TREND[[#This Row],[TOTAL_DURATION]],"hour",":"),"min",""))</f>
        <v>0.21111111111111125</v>
      </c>
    </row>
    <row r="893" spans="1:8" x14ac:dyDescent="0.3">
      <c r="A893" s="1">
        <v>46018</v>
      </c>
      <c r="B893">
        <v>11</v>
      </c>
      <c r="C893">
        <v>6</v>
      </c>
      <c r="D893">
        <v>29</v>
      </c>
      <c r="E893">
        <v>9987</v>
      </c>
      <c r="F893">
        <v>11</v>
      </c>
      <c r="G893" t="s">
        <v>749</v>
      </c>
      <c r="H893">
        <f>TIMEVALUE(SUBSTITUTE(SUBSTITUTE(_5__DAILY_USAGE_TREND[[#This Row],[TOTAL_DURATION]],"hour",":"),"min",""))</f>
        <v>1.9444444444444375E-2</v>
      </c>
    </row>
    <row r="894" spans="1:8" x14ac:dyDescent="0.3">
      <c r="A894" s="1">
        <v>46019</v>
      </c>
      <c r="B894">
        <v>5</v>
      </c>
      <c r="C894">
        <v>4</v>
      </c>
      <c r="D894">
        <v>11</v>
      </c>
      <c r="E894">
        <v>5112</v>
      </c>
      <c r="F894">
        <v>5</v>
      </c>
      <c r="G894" t="s">
        <v>510</v>
      </c>
      <c r="H894">
        <f>TIMEVALUE(SUBSTITUTE(SUBSTITUTE(_5__DAILY_USAGE_TREND[[#This Row],[TOTAL_DURATION]],"hour",":"),"min",""))</f>
        <v>0.38333333333333336</v>
      </c>
    </row>
    <row r="895" spans="1:8" x14ac:dyDescent="0.3">
      <c r="A895" s="1">
        <v>46020</v>
      </c>
      <c r="B895">
        <v>12</v>
      </c>
      <c r="C895">
        <v>8</v>
      </c>
      <c r="D895">
        <v>25</v>
      </c>
      <c r="E895">
        <v>9019</v>
      </c>
      <c r="F895">
        <v>12</v>
      </c>
      <c r="G895" t="s">
        <v>750</v>
      </c>
      <c r="H895">
        <f>TIMEVALUE(SUBSTITUTE(SUBSTITUTE(_5__DAILY_USAGE_TREND[[#This Row],[TOTAL_DURATION]],"hour",":"),"min",""))</f>
        <v>0.82638888888888884</v>
      </c>
    </row>
    <row r="896" spans="1:8" x14ac:dyDescent="0.3">
      <c r="A896" s="1">
        <v>46021</v>
      </c>
      <c r="B896">
        <v>14</v>
      </c>
      <c r="C896">
        <v>7</v>
      </c>
      <c r="D896">
        <v>35</v>
      </c>
      <c r="E896">
        <v>11570</v>
      </c>
      <c r="F896">
        <v>14</v>
      </c>
      <c r="G896" t="s">
        <v>751</v>
      </c>
      <c r="H896">
        <f>TIMEVALUE(SUBSTITUTE(SUBSTITUTE(_5__DAILY_USAGE_TREND[[#This Row],[TOTAL_DURATION]],"hour",":"),"min",""))</f>
        <v>0.79861111111111116</v>
      </c>
    </row>
    <row r="897" spans="1:8" x14ac:dyDescent="0.3">
      <c r="A897" s="1">
        <v>46022</v>
      </c>
      <c r="B897">
        <v>10</v>
      </c>
      <c r="C897">
        <v>6</v>
      </c>
      <c r="D897">
        <v>28</v>
      </c>
      <c r="E897">
        <v>10433</v>
      </c>
      <c r="F897">
        <v>10</v>
      </c>
      <c r="G897" t="s">
        <v>752</v>
      </c>
      <c r="H897">
        <f>TIMEVALUE(SUBSTITUTE(SUBSTITUTE(_5__DAILY_USAGE_TREND[[#This Row],[TOTAL_DURATION]],"hour",":"),"min",""))</f>
        <v>0.18680555555555545</v>
      </c>
    </row>
    <row r="898" spans="1:8" x14ac:dyDescent="0.3">
      <c r="A898" s="1">
        <v>46023</v>
      </c>
      <c r="B898">
        <v>4</v>
      </c>
      <c r="C898">
        <v>3</v>
      </c>
      <c r="D898">
        <v>9</v>
      </c>
      <c r="E898">
        <v>2899</v>
      </c>
      <c r="F898">
        <v>4</v>
      </c>
      <c r="G898" t="s">
        <v>665</v>
      </c>
      <c r="H898">
        <f>TIMEVALUE(SUBSTITUTE(SUBSTITUTE(_5__DAILY_USAGE_TREND[[#This Row],[TOTAL_DURATION]],"hour",":"),"min",""))</f>
        <v>0.41041666666666665</v>
      </c>
    </row>
    <row r="899" spans="1:8" x14ac:dyDescent="0.3">
      <c r="A899" s="1">
        <v>46024</v>
      </c>
      <c r="B899">
        <v>11</v>
      </c>
      <c r="C899">
        <v>5</v>
      </c>
      <c r="D899">
        <v>27</v>
      </c>
      <c r="E899">
        <v>9211</v>
      </c>
      <c r="F899">
        <v>11</v>
      </c>
      <c r="G899" t="s">
        <v>753</v>
      </c>
      <c r="H899">
        <f>TIMEVALUE(SUBSTITUTE(SUBSTITUTE(_5__DAILY_USAGE_TREND[[#This Row],[TOTAL_DURATION]],"hour",":"),"min",""))</f>
        <v>0.94652777777777775</v>
      </c>
    </row>
    <row r="900" spans="1:8" x14ac:dyDescent="0.3">
      <c r="A900" s="1">
        <v>46025</v>
      </c>
      <c r="B900">
        <v>15</v>
      </c>
      <c r="C900">
        <v>10</v>
      </c>
      <c r="D900">
        <v>30</v>
      </c>
      <c r="E900">
        <v>11716</v>
      </c>
      <c r="F900">
        <v>15</v>
      </c>
      <c r="G900" t="s">
        <v>754</v>
      </c>
      <c r="H900">
        <f>TIMEVALUE(SUBSTITUTE(SUBSTITUTE(_5__DAILY_USAGE_TREND[[#This Row],[TOTAL_DURATION]],"hour",":"),"min",""))</f>
        <v>0.31041666666666679</v>
      </c>
    </row>
    <row r="901" spans="1:8" x14ac:dyDescent="0.3">
      <c r="A901" s="1">
        <v>46026</v>
      </c>
      <c r="B901">
        <v>9</v>
      </c>
      <c r="C901">
        <v>6</v>
      </c>
      <c r="D901">
        <v>29</v>
      </c>
      <c r="E901">
        <v>9461</v>
      </c>
      <c r="F901">
        <v>9</v>
      </c>
      <c r="G901" t="s">
        <v>755</v>
      </c>
      <c r="H901">
        <f>TIMEVALUE(SUBSTITUTE(SUBSTITUTE(_5__DAILY_USAGE_TREND[[#This Row],[TOTAL_DURATION]],"hour",":"),"min",""))</f>
        <v>0.64375000000000004</v>
      </c>
    </row>
    <row r="902" spans="1:8" x14ac:dyDescent="0.3">
      <c r="A902" s="1">
        <v>46027</v>
      </c>
      <c r="B902">
        <v>8</v>
      </c>
      <c r="C902">
        <v>5</v>
      </c>
      <c r="D902">
        <v>18</v>
      </c>
      <c r="E902">
        <v>7128</v>
      </c>
      <c r="F902">
        <v>8</v>
      </c>
      <c r="G902" t="s">
        <v>756</v>
      </c>
      <c r="H902">
        <f>TIMEVALUE(SUBSTITUTE(SUBSTITUTE(_5__DAILY_USAGE_TREND[[#This Row],[TOTAL_DURATION]],"hour",":"),"min",""))</f>
        <v>0.50625000000000009</v>
      </c>
    </row>
    <row r="903" spans="1:8" x14ac:dyDescent="0.3">
      <c r="A903" s="1">
        <v>46028</v>
      </c>
      <c r="B903">
        <v>9</v>
      </c>
      <c r="C903">
        <v>7</v>
      </c>
      <c r="D903">
        <v>23</v>
      </c>
      <c r="E903">
        <v>7648</v>
      </c>
      <c r="F903">
        <v>9</v>
      </c>
      <c r="G903" t="s">
        <v>757</v>
      </c>
      <c r="H903">
        <f>TIMEVALUE(SUBSTITUTE(SUBSTITUTE(_5__DAILY_USAGE_TREND[[#This Row],[TOTAL_DURATION]],"hour",":"),"min",""))</f>
        <v>0.41944444444444451</v>
      </c>
    </row>
    <row r="904" spans="1:8" x14ac:dyDescent="0.3">
      <c r="A904" s="1">
        <v>46029</v>
      </c>
      <c r="B904">
        <v>8</v>
      </c>
      <c r="C904">
        <v>7</v>
      </c>
      <c r="D904">
        <v>15</v>
      </c>
      <c r="E904">
        <v>6091</v>
      </c>
      <c r="F904">
        <v>8</v>
      </c>
      <c r="G904" t="s">
        <v>302</v>
      </c>
      <c r="H904">
        <f>TIMEVALUE(SUBSTITUTE(SUBSTITUTE(_5__DAILY_USAGE_TREND[[#This Row],[TOTAL_DURATION]],"hour",":"),"min",""))</f>
        <v>0.42430555555555555</v>
      </c>
    </row>
    <row r="905" spans="1:8" x14ac:dyDescent="0.3">
      <c r="A905" s="1">
        <v>46030</v>
      </c>
      <c r="B905">
        <v>11</v>
      </c>
      <c r="C905">
        <v>7</v>
      </c>
      <c r="D905">
        <v>25</v>
      </c>
      <c r="E905">
        <v>9182</v>
      </c>
      <c r="F905">
        <v>11</v>
      </c>
      <c r="G905" t="s">
        <v>758</v>
      </c>
      <c r="H905">
        <f>TIMEVALUE(SUBSTITUTE(SUBSTITUTE(_5__DAILY_USAGE_TREND[[#This Row],[TOTAL_DURATION]],"hour",":"),"min",""))</f>
        <v>0</v>
      </c>
    </row>
    <row r="906" spans="1:8" x14ac:dyDescent="0.3">
      <c r="A906" s="1">
        <v>46031</v>
      </c>
      <c r="B906">
        <v>8</v>
      </c>
      <c r="C906">
        <v>6</v>
      </c>
      <c r="D906">
        <v>22</v>
      </c>
      <c r="E906">
        <v>8393</v>
      </c>
      <c r="F906">
        <v>8</v>
      </c>
      <c r="G906" t="s">
        <v>759</v>
      </c>
      <c r="H906">
        <f>TIMEVALUE(SUBSTITUTE(SUBSTITUTE(_5__DAILY_USAGE_TREND[[#This Row],[TOTAL_DURATION]],"hour",":"),"min",""))</f>
        <v>0.6201388888888888</v>
      </c>
    </row>
    <row r="907" spans="1:8" x14ac:dyDescent="0.3">
      <c r="A907" s="1">
        <v>46032</v>
      </c>
      <c r="B907">
        <v>6</v>
      </c>
      <c r="C907">
        <v>4</v>
      </c>
      <c r="D907">
        <v>15</v>
      </c>
      <c r="E907">
        <v>4470</v>
      </c>
      <c r="F907">
        <v>6</v>
      </c>
      <c r="G907" t="s">
        <v>760</v>
      </c>
      <c r="H907">
        <f>TIMEVALUE(SUBSTITUTE(SUBSTITUTE(_5__DAILY_USAGE_TREND[[#This Row],[TOTAL_DURATION]],"hour",":"),"min",""))</f>
        <v>0.92013888888888884</v>
      </c>
    </row>
    <row r="908" spans="1:8" x14ac:dyDescent="0.3">
      <c r="A908" s="1">
        <v>46033</v>
      </c>
      <c r="B908">
        <v>7</v>
      </c>
      <c r="C908">
        <v>6</v>
      </c>
      <c r="D908">
        <v>13</v>
      </c>
      <c r="E908">
        <v>4579</v>
      </c>
      <c r="F908">
        <v>7</v>
      </c>
      <c r="G908" t="s">
        <v>604</v>
      </c>
      <c r="H908">
        <f>TIMEVALUE(SUBSTITUTE(SUBSTITUTE(_5__DAILY_USAGE_TREND[[#This Row],[TOTAL_DURATION]],"hour",":"),"min",""))</f>
        <v>0.67013888888888884</v>
      </c>
    </row>
    <row r="909" spans="1:8" x14ac:dyDescent="0.3">
      <c r="A909" s="1">
        <v>46034</v>
      </c>
      <c r="B909">
        <v>8</v>
      </c>
      <c r="C909">
        <v>6</v>
      </c>
      <c r="D909">
        <v>19</v>
      </c>
      <c r="E909">
        <v>6637</v>
      </c>
      <c r="F909">
        <v>8</v>
      </c>
      <c r="G909" t="s">
        <v>341</v>
      </c>
      <c r="H909">
        <f>TIMEVALUE(SUBSTITUTE(SUBSTITUTE(_5__DAILY_USAGE_TREND[[#This Row],[TOTAL_DURATION]],"hour",":"),"min",""))</f>
        <v>0.74444444444444446</v>
      </c>
    </row>
    <row r="910" spans="1:8" x14ac:dyDescent="0.3">
      <c r="A910" s="1">
        <v>46035</v>
      </c>
      <c r="B910">
        <v>12</v>
      </c>
      <c r="C910">
        <v>9</v>
      </c>
      <c r="D910">
        <v>31</v>
      </c>
      <c r="E910">
        <v>11578</v>
      </c>
      <c r="F910">
        <v>12</v>
      </c>
      <c r="G910" t="s">
        <v>761</v>
      </c>
      <c r="H910">
        <f>TIMEVALUE(SUBSTITUTE(SUBSTITUTE(_5__DAILY_USAGE_TREND[[#This Row],[TOTAL_DURATION]],"hour",":"),"min",""))</f>
        <v>0.48749999999999982</v>
      </c>
    </row>
    <row r="911" spans="1:8" x14ac:dyDescent="0.3">
      <c r="A911" s="1">
        <v>46036</v>
      </c>
      <c r="B911">
        <v>11</v>
      </c>
      <c r="C911">
        <v>7</v>
      </c>
      <c r="D911">
        <v>30</v>
      </c>
      <c r="E911">
        <v>10745</v>
      </c>
      <c r="F911">
        <v>11</v>
      </c>
      <c r="G911" t="s">
        <v>762</v>
      </c>
      <c r="H911">
        <f>TIMEVALUE(SUBSTITUTE(SUBSTITUTE(_5__DAILY_USAGE_TREND[[#This Row],[TOTAL_DURATION]],"hour",":"),"min",""))</f>
        <v>0.43472222222222223</v>
      </c>
    </row>
    <row r="912" spans="1:8" x14ac:dyDescent="0.3">
      <c r="A912" s="1">
        <v>46037</v>
      </c>
      <c r="B912">
        <v>10</v>
      </c>
      <c r="C912">
        <v>6</v>
      </c>
      <c r="D912">
        <v>17</v>
      </c>
      <c r="E912">
        <v>7047</v>
      </c>
      <c r="F912">
        <v>10</v>
      </c>
      <c r="G912" t="s">
        <v>516</v>
      </c>
      <c r="H912">
        <f>TIMEVALUE(SUBSTITUTE(SUBSTITUTE(_5__DAILY_USAGE_TREND[[#This Row],[TOTAL_DURATION]],"hour",":"),"min",""))</f>
        <v>0.55277777777777781</v>
      </c>
    </row>
    <row r="913" spans="1:8" x14ac:dyDescent="0.3">
      <c r="A913" s="1">
        <v>46038</v>
      </c>
      <c r="B913">
        <v>9</v>
      </c>
      <c r="C913">
        <v>6</v>
      </c>
      <c r="D913">
        <v>19</v>
      </c>
      <c r="E913">
        <v>5952</v>
      </c>
      <c r="F913">
        <v>9</v>
      </c>
      <c r="G913" t="s">
        <v>763</v>
      </c>
      <c r="H913">
        <f>TIMEVALUE(SUBSTITUTE(SUBSTITUTE(_5__DAILY_USAGE_TREND[[#This Row],[TOTAL_DURATION]],"hour",":"),"min",""))</f>
        <v>0.16874999999999996</v>
      </c>
    </row>
    <row r="914" spans="1:8" x14ac:dyDescent="0.3">
      <c r="A914" s="1">
        <v>46039</v>
      </c>
      <c r="B914">
        <v>13</v>
      </c>
      <c r="C914">
        <v>10</v>
      </c>
      <c r="D914">
        <v>29</v>
      </c>
      <c r="E914">
        <v>9477</v>
      </c>
      <c r="F914">
        <v>13</v>
      </c>
      <c r="G914" t="s">
        <v>764</v>
      </c>
      <c r="H914">
        <f>TIMEVALUE(SUBSTITUTE(SUBSTITUTE(_5__DAILY_USAGE_TREND[[#This Row],[TOTAL_DURATION]],"hour",":"),"min",""))</f>
        <v>7.2916666666666519E-2</v>
      </c>
    </row>
    <row r="915" spans="1:8" x14ac:dyDescent="0.3">
      <c r="A915" s="1">
        <v>46040</v>
      </c>
      <c r="B915">
        <v>4</v>
      </c>
      <c r="C915">
        <v>3</v>
      </c>
      <c r="D915">
        <v>10</v>
      </c>
      <c r="E915">
        <v>3597</v>
      </c>
      <c r="F915">
        <v>4</v>
      </c>
      <c r="G915" t="s">
        <v>765</v>
      </c>
      <c r="H915">
        <f>TIMEVALUE(SUBSTITUTE(SUBSTITUTE(_5__DAILY_USAGE_TREND[[#This Row],[TOTAL_DURATION]],"hour",":"),"min",""))</f>
        <v>0.31041666666666667</v>
      </c>
    </row>
    <row r="916" spans="1:8" x14ac:dyDescent="0.3">
      <c r="A916" s="1">
        <v>46041</v>
      </c>
      <c r="B916">
        <v>7</v>
      </c>
      <c r="C916">
        <v>5</v>
      </c>
      <c r="D916">
        <v>12</v>
      </c>
      <c r="E916">
        <v>4387</v>
      </c>
      <c r="F916">
        <v>7</v>
      </c>
      <c r="G916" t="s">
        <v>714</v>
      </c>
      <c r="H916">
        <f>TIMEVALUE(SUBSTITUTE(SUBSTITUTE(_5__DAILY_USAGE_TREND[[#This Row],[TOTAL_DURATION]],"hour",":"),"min",""))</f>
        <v>0.52013888888888893</v>
      </c>
    </row>
    <row r="917" spans="1:8" x14ac:dyDescent="0.3">
      <c r="A917" s="1">
        <v>46042</v>
      </c>
      <c r="B917">
        <v>12</v>
      </c>
      <c r="C917">
        <v>6</v>
      </c>
      <c r="D917">
        <v>29</v>
      </c>
      <c r="E917">
        <v>11759</v>
      </c>
      <c r="F917">
        <v>12</v>
      </c>
      <c r="G917" t="s">
        <v>766</v>
      </c>
      <c r="H917">
        <f>TIMEVALUE(SUBSTITUTE(SUBSTITUTE(_5__DAILY_USAGE_TREND[[#This Row],[TOTAL_DURATION]],"hour",":"),"min",""))</f>
        <v>6.9444444444444642E-2</v>
      </c>
    </row>
    <row r="918" spans="1:8" x14ac:dyDescent="0.3">
      <c r="A918" s="1">
        <v>46043</v>
      </c>
      <c r="B918">
        <v>6</v>
      </c>
      <c r="C918">
        <v>4</v>
      </c>
      <c r="D918">
        <v>14</v>
      </c>
      <c r="E918">
        <v>4362</v>
      </c>
      <c r="F918">
        <v>6</v>
      </c>
      <c r="G918" t="s">
        <v>767</v>
      </c>
      <c r="H918">
        <f>TIMEVALUE(SUBSTITUTE(SUBSTITUTE(_5__DAILY_USAGE_TREND[[#This Row],[TOTAL_DURATION]],"hour",":"),"min",""))</f>
        <v>0.16666666666666652</v>
      </c>
    </row>
    <row r="919" spans="1:8" x14ac:dyDescent="0.3">
      <c r="A919" s="1">
        <v>46044</v>
      </c>
      <c r="B919">
        <v>14</v>
      </c>
      <c r="C919">
        <v>7</v>
      </c>
      <c r="D919">
        <v>26</v>
      </c>
      <c r="E919">
        <v>9915</v>
      </c>
      <c r="F919">
        <v>14</v>
      </c>
      <c r="G919" t="s">
        <v>768</v>
      </c>
      <c r="H919">
        <f>TIMEVALUE(SUBSTITUTE(SUBSTITUTE(_5__DAILY_USAGE_TREND[[#This Row],[TOTAL_DURATION]],"hour",":"),"min",""))</f>
        <v>0.96527777777777779</v>
      </c>
    </row>
    <row r="920" spans="1:8" x14ac:dyDescent="0.3">
      <c r="A920" s="1">
        <v>46045</v>
      </c>
      <c r="B920">
        <v>12</v>
      </c>
      <c r="C920">
        <v>8</v>
      </c>
      <c r="D920">
        <v>28</v>
      </c>
      <c r="E920">
        <v>9081</v>
      </c>
      <c r="F920">
        <v>12</v>
      </c>
      <c r="G920" t="s">
        <v>769</v>
      </c>
      <c r="H920">
        <f>TIMEVALUE(SUBSTITUTE(SUBSTITUTE(_5__DAILY_USAGE_TREND[[#This Row],[TOTAL_DURATION]],"hour",":"),"min",""))</f>
        <v>0.29652777777777772</v>
      </c>
    </row>
    <row r="921" spans="1:8" x14ac:dyDescent="0.3">
      <c r="A921" s="1">
        <v>46046</v>
      </c>
      <c r="B921">
        <v>10</v>
      </c>
      <c r="C921">
        <v>6</v>
      </c>
      <c r="D921">
        <v>36</v>
      </c>
      <c r="E921">
        <v>13376</v>
      </c>
      <c r="F921">
        <v>10</v>
      </c>
      <c r="G921" t="s">
        <v>770</v>
      </c>
      <c r="H921">
        <f>TIMEVALUE(SUBSTITUTE(SUBSTITUTE(_5__DAILY_USAGE_TREND[[#This Row],[TOTAL_DURATION]],"hour",":"),"min",""))</f>
        <v>0.51875000000000004</v>
      </c>
    </row>
    <row r="922" spans="1:8" x14ac:dyDescent="0.3">
      <c r="A922" s="1">
        <v>46047</v>
      </c>
      <c r="B922">
        <v>12</v>
      </c>
      <c r="C922">
        <v>8</v>
      </c>
      <c r="D922">
        <v>23</v>
      </c>
      <c r="E922">
        <v>7982</v>
      </c>
      <c r="F922">
        <v>12</v>
      </c>
      <c r="G922" t="s">
        <v>771</v>
      </c>
      <c r="H922">
        <f>TIMEVALUE(SUBSTITUTE(SUBSTITUTE(_5__DAILY_USAGE_TREND[[#This Row],[TOTAL_DURATION]],"hour",":"),"min",""))</f>
        <v>0.80208333333333337</v>
      </c>
    </row>
    <row r="923" spans="1:8" x14ac:dyDescent="0.3">
      <c r="A923" s="1">
        <v>46048</v>
      </c>
      <c r="B923">
        <v>12</v>
      </c>
      <c r="C923">
        <v>6</v>
      </c>
      <c r="D923">
        <v>23</v>
      </c>
      <c r="E923">
        <v>7842</v>
      </c>
      <c r="F923">
        <v>12</v>
      </c>
      <c r="G923" t="s">
        <v>772</v>
      </c>
      <c r="H923">
        <f>TIMEVALUE(SUBSTITUTE(SUBSTITUTE(_5__DAILY_USAGE_TREND[[#This Row],[TOTAL_DURATION]],"hour",":"),"min",""))</f>
        <v>0.48055555555555562</v>
      </c>
    </row>
    <row r="924" spans="1:8" x14ac:dyDescent="0.3">
      <c r="A924" s="1">
        <v>46049</v>
      </c>
      <c r="B924">
        <v>9</v>
      </c>
      <c r="C924">
        <v>8</v>
      </c>
      <c r="D924">
        <v>15</v>
      </c>
      <c r="E924">
        <v>4708</v>
      </c>
      <c r="F924">
        <v>9</v>
      </c>
      <c r="G924" t="s">
        <v>773</v>
      </c>
      <c r="H924">
        <f>TIMEVALUE(SUBSTITUTE(SUBSTITUTE(_5__DAILY_USAGE_TREND[[#This Row],[TOTAL_DURATION]],"hour",":"),"min",""))</f>
        <v>0.39791666666666664</v>
      </c>
    </row>
    <row r="925" spans="1:8" x14ac:dyDescent="0.3">
      <c r="A925" s="1">
        <v>46050</v>
      </c>
      <c r="B925">
        <v>16</v>
      </c>
      <c r="C925">
        <v>6</v>
      </c>
      <c r="D925">
        <v>39</v>
      </c>
      <c r="E925">
        <v>15455</v>
      </c>
      <c r="F925">
        <v>16</v>
      </c>
      <c r="G925" t="s">
        <v>774</v>
      </c>
      <c r="H925">
        <f>TIMEVALUE(SUBSTITUTE(SUBSTITUTE(_5__DAILY_USAGE_TREND[[#This Row],[TOTAL_DURATION]],"hour",":"),"min",""))</f>
        <v>0.36597222222222214</v>
      </c>
    </row>
    <row r="926" spans="1:8" x14ac:dyDescent="0.3">
      <c r="A926" s="1">
        <v>46051</v>
      </c>
      <c r="B926">
        <v>19</v>
      </c>
      <c r="C926">
        <v>9</v>
      </c>
      <c r="D926">
        <v>44</v>
      </c>
      <c r="E926">
        <v>12845</v>
      </c>
      <c r="F926">
        <v>19</v>
      </c>
      <c r="G926" t="s">
        <v>775</v>
      </c>
      <c r="H926">
        <f>TIMEVALUE(SUBSTITUTE(SUBSTITUTE(_5__DAILY_USAGE_TREND[[#This Row],[TOTAL_DURATION]],"hour",":"),"min",""))</f>
        <v>6.3888888888889106E-2</v>
      </c>
    </row>
    <row r="927" spans="1:8" x14ac:dyDescent="0.3">
      <c r="A927" s="1">
        <v>46052</v>
      </c>
      <c r="B927">
        <v>7</v>
      </c>
      <c r="C927">
        <v>6</v>
      </c>
      <c r="D927">
        <v>20</v>
      </c>
      <c r="E927">
        <v>7382</v>
      </c>
      <c r="F927">
        <v>7</v>
      </c>
      <c r="G927" t="s">
        <v>776</v>
      </c>
      <c r="H927">
        <f>TIMEVALUE(SUBSTITUTE(SUBSTITUTE(_5__DAILY_USAGE_TREND[[#This Row],[TOTAL_DURATION]],"hour",":"),"min",""))</f>
        <v>2.2916666666666696E-2</v>
      </c>
    </row>
    <row r="928" spans="1:8" x14ac:dyDescent="0.3">
      <c r="A928" s="1">
        <v>46053</v>
      </c>
      <c r="B928">
        <v>6</v>
      </c>
      <c r="C928">
        <v>4</v>
      </c>
      <c r="D928">
        <v>19</v>
      </c>
      <c r="E928">
        <v>7350</v>
      </c>
      <c r="F928">
        <v>6</v>
      </c>
      <c r="G928" t="s">
        <v>777</v>
      </c>
      <c r="H928">
        <f>TIMEVALUE(SUBSTITUTE(SUBSTITUTE(_5__DAILY_USAGE_TREND[[#This Row],[TOTAL_DURATION]],"hour",":"),"min",""))</f>
        <v>0.25138888888888888</v>
      </c>
    </row>
    <row r="929" spans="1:8" x14ac:dyDescent="0.3">
      <c r="A929" s="1">
        <v>46054</v>
      </c>
      <c r="B929">
        <v>3</v>
      </c>
      <c r="C929">
        <v>2</v>
      </c>
      <c r="D929">
        <v>7</v>
      </c>
      <c r="E929">
        <v>2216</v>
      </c>
      <c r="F929">
        <v>3</v>
      </c>
      <c r="G929" t="s">
        <v>778</v>
      </c>
      <c r="H929">
        <f>TIMEVALUE(SUBSTITUTE(SUBSTITUTE(_5__DAILY_USAGE_TREND[[#This Row],[TOTAL_DURATION]],"hour",":"),"min",""))</f>
        <v>0.20902777777777778</v>
      </c>
    </row>
    <row r="930" spans="1:8" x14ac:dyDescent="0.3">
      <c r="A930" s="1">
        <v>46055</v>
      </c>
      <c r="B930">
        <v>15</v>
      </c>
      <c r="C930">
        <v>9</v>
      </c>
      <c r="D930">
        <v>32</v>
      </c>
      <c r="E930">
        <v>12124</v>
      </c>
      <c r="F930">
        <v>15</v>
      </c>
      <c r="G930" t="s">
        <v>779</v>
      </c>
      <c r="H930">
        <f>TIMEVALUE(SUBSTITUTE(SUBSTITUTE(_5__DAILY_USAGE_TREND[[#This Row],[TOTAL_DURATION]],"hour",":"),"min",""))</f>
        <v>8.0555555555555491E-2</v>
      </c>
    </row>
    <row r="931" spans="1:8" x14ac:dyDescent="0.3">
      <c r="A931" s="1">
        <v>46056</v>
      </c>
      <c r="B931">
        <v>16</v>
      </c>
      <c r="C931">
        <v>7</v>
      </c>
      <c r="D931">
        <v>36</v>
      </c>
      <c r="E931">
        <v>11552</v>
      </c>
      <c r="F931">
        <v>16</v>
      </c>
      <c r="G931" t="s">
        <v>780</v>
      </c>
      <c r="H931">
        <f>TIMEVALUE(SUBSTITUTE(SUBSTITUTE(_5__DAILY_USAGE_TREND[[#This Row],[TOTAL_DURATION]],"hour",":"),"min",""))</f>
        <v>0.5708333333333333</v>
      </c>
    </row>
    <row r="932" spans="1:8" x14ac:dyDescent="0.3">
      <c r="A932" s="1">
        <v>46057</v>
      </c>
      <c r="B932">
        <v>5</v>
      </c>
      <c r="C932">
        <v>3</v>
      </c>
      <c r="D932">
        <v>15</v>
      </c>
      <c r="E932">
        <v>6379</v>
      </c>
      <c r="F932">
        <v>5</v>
      </c>
      <c r="G932" t="s">
        <v>87</v>
      </c>
      <c r="H932">
        <f>TIMEVALUE(SUBSTITUTE(SUBSTITUTE(_5__DAILY_USAGE_TREND[[#This Row],[TOTAL_DURATION]],"hour",":"),"min",""))</f>
        <v>0.52222222222222225</v>
      </c>
    </row>
    <row r="933" spans="1:8" x14ac:dyDescent="0.3">
      <c r="A933" s="1">
        <v>46058</v>
      </c>
      <c r="B933">
        <v>11</v>
      </c>
      <c r="C933">
        <v>5</v>
      </c>
      <c r="D933">
        <v>33</v>
      </c>
      <c r="E933">
        <v>10721</v>
      </c>
      <c r="F933">
        <v>12</v>
      </c>
      <c r="G933" t="s">
        <v>781</v>
      </c>
      <c r="H933">
        <f>TIMEVALUE(SUBSTITUTE(SUBSTITUTE(_5__DAILY_USAGE_TREND[[#This Row],[TOTAL_DURATION]],"hour",":"),"min",""))</f>
        <v>0.30347222222222214</v>
      </c>
    </row>
    <row r="934" spans="1:8" x14ac:dyDescent="0.3">
      <c r="A934" s="1">
        <v>46059</v>
      </c>
      <c r="B934">
        <v>6</v>
      </c>
      <c r="C934">
        <v>5</v>
      </c>
      <c r="D934">
        <v>8</v>
      </c>
      <c r="E934">
        <v>3189</v>
      </c>
      <c r="F934">
        <v>6</v>
      </c>
      <c r="G934" t="s">
        <v>444</v>
      </c>
      <c r="H934">
        <f>TIMEVALUE(SUBSTITUTE(SUBSTITUTE(_5__DAILY_USAGE_TREND[[#This Row],[TOTAL_DURATION]],"hour",":"),"min",""))</f>
        <v>0.48194444444444445</v>
      </c>
    </row>
    <row r="935" spans="1:8" x14ac:dyDescent="0.3">
      <c r="A935" s="1">
        <v>46060</v>
      </c>
      <c r="B935">
        <v>9</v>
      </c>
      <c r="C935">
        <v>5</v>
      </c>
      <c r="D935">
        <v>27</v>
      </c>
      <c r="E935">
        <v>11021</v>
      </c>
      <c r="F935">
        <v>9</v>
      </c>
      <c r="G935" t="s">
        <v>782</v>
      </c>
      <c r="H935">
        <f>TIMEVALUE(SUBSTITUTE(SUBSTITUTE(_5__DAILY_USAGE_TREND[[#This Row],[TOTAL_DURATION]],"hour",":"),"min",""))</f>
        <v>0.36874999999999991</v>
      </c>
    </row>
    <row r="936" spans="1:8" x14ac:dyDescent="0.3">
      <c r="A936" s="1">
        <v>46061</v>
      </c>
      <c r="B936">
        <v>8</v>
      </c>
      <c r="C936">
        <v>6</v>
      </c>
      <c r="D936">
        <v>9</v>
      </c>
      <c r="E936">
        <v>3365</v>
      </c>
      <c r="F936">
        <v>8</v>
      </c>
      <c r="G936" t="s">
        <v>447</v>
      </c>
      <c r="H936">
        <f>TIMEVALUE(SUBSTITUTE(SUBSTITUTE(_5__DAILY_USAGE_TREND[[#This Row],[TOTAL_DURATION]],"hour",":"),"min",""))</f>
        <v>0.88680555555555551</v>
      </c>
    </row>
    <row r="937" spans="1:8" x14ac:dyDescent="0.3">
      <c r="A937" s="1">
        <v>46062</v>
      </c>
      <c r="B937">
        <v>7</v>
      </c>
      <c r="C937">
        <v>6</v>
      </c>
      <c r="D937">
        <v>20</v>
      </c>
      <c r="E937">
        <v>7345</v>
      </c>
      <c r="F937">
        <v>7</v>
      </c>
      <c r="G937" t="s">
        <v>783</v>
      </c>
      <c r="H937">
        <f>TIMEVALUE(SUBSTITUTE(SUBSTITUTE(_5__DAILY_USAGE_TREND[[#This Row],[TOTAL_DURATION]],"hour",":"),"min",""))</f>
        <v>0.65972222222222232</v>
      </c>
    </row>
    <row r="938" spans="1:8" x14ac:dyDescent="0.3">
      <c r="A938" s="1">
        <v>46063</v>
      </c>
      <c r="B938">
        <v>10</v>
      </c>
      <c r="C938">
        <v>7</v>
      </c>
      <c r="D938">
        <v>26</v>
      </c>
      <c r="E938">
        <v>9389</v>
      </c>
      <c r="F938">
        <v>10</v>
      </c>
      <c r="G938" t="s">
        <v>620</v>
      </c>
      <c r="H938">
        <f>TIMEVALUE(SUBSTITUTE(SUBSTITUTE(_5__DAILY_USAGE_TREND[[#This Row],[TOTAL_DURATION]],"hour",":"),"min",""))</f>
        <v>0.87083333333333335</v>
      </c>
    </row>
    <row r="939" spans="1:8" x14ac:dyDescent="0.3">
      <c r="A939" s="1">
        <v>46064</v>
      </c>
      <c r="B939">
        <v>14</v>
      </c>
      <c r="C939">
        <v>9</v>
      </c>
      <c r="D939">
        <v>36</v>
      </c>
      <c r="E939">
        <v>11342</v>
      </c>
      <c r="F939">
        <v>14</v>
      </c>
      <c r="G939" t="s">
        <v>784</v>
      </c>
      <c r="H939">
        <f>TIMEVALUE(SUBSTITUTE(SUBSTITUTE(_5__DAILY_USAGE_TREND[[#This Row],[TOTAL_DURATION]],"hour",":"),"min",""))</f>
        <v>0.83263888888888893</v>
      </c>
    </row>
    <row r="940" spans="1:8" x14ac:dyDescent="0.3">
      <c r="A940" s="1">
        <v>46065</v>
      </c>
      <c r="B940">
        <v>10</v>
      </c>
      <c r="C940">
        <v>6</v>
      </c>
      <c r="D940">
        <v>28</v>
      </c>
      <c r="E940">
        <v>10070</v>
      </c>
      <c r="F940">
        <v>10</v>
      </c>
      <c r="G940" t="s">
        <v>785</v>
      </c>
      <c r="H940">
        <f>TIMEVALUE(SUBSTITUTE(SUBSTITUTE(_5__DAILY_USAGE_TREND[[#This Row],[TOTAL_DURATION]],"hour",":"),"min",""))</f>
        <v>0.93958333333333333</v>
      </c>
    </row>
    <row r="941" spans="1:8" x14ac:dyDescent="0.3">
      <c r="A941" s="1">
        <v>46066</v>
      </c>
      <c r="B941">
        <v>8</v>
      </c>
      <c r="C941">
        <v>7</v>
      </c>
      <c r="D941">
        <v>16</v>
      </c>
      <c r="E941">
        <v>6172</v>
      </c>
      <c r="F941">
        <v>8</v>
      </c>
      <c r="G941" t="s">
        <v>786</v>
      </c>
      <c r="H941">
        <f>TIMEVALUE(SUBSTITUTE(SUBSTITUTE(_5__DAILY_USAGE_TREND[[#This Row],[TOTAL_DURATION]],"hour",":"),"min",""))</f>
        <v>0.44722222222222219</v>
      </c>
    </row>
    <row r="942" spans="1:8" x14ac:dyDescent="0.3">
      <c r="A942" s="1">
        <v>46067</v>
      </c>
      <c r="B942">
        <v>10</v>
      </c>
      <c r="C942">
        <v>7</v>
      </c>
      <c r="D942">
        <v>16</v>
      </c>
      <c r="E942">
        <v>5372</v>
      </c>
      <c r="F942">
        <v>10</v>
      </c>
      <c r="G942" t="s">
        <v>787</v>
      </c>
      <c r="H942">
        <f>TIMEVALUE(SUBSTITUTE(SUBSTITUTE(_5__DAILY_USAGE_TREND[[#This Row],[TOTAL_DURATION]],"hour",":"),"min",""))</f>
        <v>0.71944444444444444</v>
      </c>
    </row>
    <row r="943" spans="1:8" x14ac:dyDescent="0.3">
      <c r="A943" s="1">
        <v>46068</v>
      </c>
      <c r="B943">
        <v>10</v>
      </c>
      <c r="C943">
        <v>6</v>
      </c>
      <c r="D943">
        <v>20</v>
      </c>
      <c r="E943">
        <v>7023</v>
      </c>
      <c r="F943">
        <v>10</v>
      </c>
      <c r="G943" t="s">
        <v>566</v>
      </c>
      <c r="H943">
        <f>TIMEVALUE(SUBSTITUTE(SUBSTITUTE(_5__DAILY_USAGE_TREND[[#This Row],[TOTAL_DURATION]],"hour",":"),"min",""))</f>
        <v>0.64930555555555558</v>
      </c>
    </row>
    <row r="944" spans="1:8" x14ac:dyDescent="0.3">
      <c r="A944" s="1">
        <v>46069</v>
      </c>
      <c r="B944">
        <v>12</v>
      </c>
      <c r="C944">
        <v>8</v>
      </c>
      <c r="D944">
        <v>25</v>
      </c>
      <c r="E944">
        <v>8214</v>
      </c>
      <c r="F944">
        <v>12</v>
      </c>
      <c r="G944" t="s">
        <v>788</v>
      </c>
      <c r="H944">
        <f>TIMEVALUE(SUBSTITUTE(SUBSTITUTE(_5__DAILY_USAGE_TREND[[#This Row],[TOTAL_DURATION]],"hour",":"),"min",""))</f>
        <v>0.33611111111111103</v>
      </c>
    </row>
    <row r="945" spans="1:8" x14ac:dyDescent="0.3">
      <c r="A945" s="1">
        <v>46070</v>
      </c>
      <c r="B945">
        <v>12</v>
      </c>
      <c r="C945">
        <v>6</v>
      </c>
      <c r="D945">
        <v>28</v>
      </c>
      <c r="E945">
        <v>8015</v>
      </c>
      <c r="F945">
        <v>12</v>
      </c>
      <c r="G945" t="s">
        <v>789</v>
      </c>
      <c r="H945">
        <f>TIMEVALUE(SUBSTITUTE(SUBSTITUTE(_5__DAILY_USAGE_TREND[[#This Row],[TOTAL_DURATION]],"hour",":"),"min",""))</f>
        <v>6.5277777777777768E-2</v>
      </c>
    </row>
    <row r="946" spans="1:8" x14ac:dyDescent="0.3">
      <c r="A946" s="1">
        <v>46071</v>
      </c>
      <c r="B946">
        <v>6</v>
      </c>
      <c r="C946">
        <v>4</v>
      </c>
      <c r="D946">
        <v>14</v>
      </c>
      <c r="E946">
        <v>4267</v>
      </c>
      <c r="F946">
        <v>6</v>
      </c>
      <c r="G946" t="s">
        <v>790</v>
      </c>
      <c r="H946">
        <f>TIMEVALUE(SUBSTITUTE(SUBSTITUTE(_5__DAILY_USAGE_TREND[[#This Row],[TOTAL_DURATION]],"hour",":"),"min",""))</f>
        <v>0.45763888888888887</v>
      </c>
    </row>
    <row r="947" spans="1:8" x14ac:dyDescent="0.3">
      <c r="A947" s="1">
        <v>46072</v>
      </c>
      <c r="B947">
        <v>8</v>
      </c>
      <c r="C947">
        <v>6</v>
      </c>
      <c r="D947">
        <v>21</v>
      </c>
      <c r="E947">
        <v>7264</v>
      </c>
      <c r="F947">
        <v>8</v>
      </c>
      <c r="G947" t="s">
        <v>791</v>
      </c>
      <c r="H947">
        <f>TIMEVALUE(SUBSTITUTE(SUBSTITUTE(_5__DAILY_USAGE_TREND[[#This Row],[TOTAL_DURATION]],"hour",":"),"min",""))</f>
        <v>0.86944444444444446</v>
      </c>
    </row>
    <row r="948" spans="1:8" x14ac:dyDescent="0.3">
      <c r="A948" s="1">
        <v>46073</v>
      </c>
      <c r="B948">
        <v>18</v>
      </c>
      <c r="C948">
        <v>9</v>
      </c>
      <c r="D948">
        <v>37</v>
      </c>
      <c r="E948">
        <v>13715</v>
      </c>
      <c r="F948">
        <v>18</v>
      </c>
      <c r="G948" t="s">
        <v>792</v>
      </c>
      <c r="H948">
        <f>TIMEVALUE(SUBSTITUTE(SUBSTITUTE(_5__DAILY_USAGE_TREND[[#This Row],[TOTAL_DURATION]],"hour",":"),"min",""))</f>
        <v>0.46597222222222223</v>
      </c>
    </row>
    <row r="949" spans="1:8" x14ac:dyDescent="0.3">
      <c r="A949" s="1">
        <v>46074</v>
      </c>
      <c r="B949">
        <v>19</v>
      </c>
      <c r="C949">
        <v>9</v>
      </c>
      <c r="D949">
        <v>46</v>
      </c>
      <c r="E949">
        <v>16294</v>
      </c>
      <c r="F949">
        <v>19</v>
      </c>
      <c r="G949" t="s">
        <v>793</v>
      </c>
      <c r="H949">
        <f>TIMEVALUE(SUBSTITUTE(SUBSTITUTE(_5__DAILY_USAGE_TREND[[#This Row],[TOTAL_DURATION]],"hour",":"),"min",""))</f>
        <v>0.34166666666666679</v>
      </c>
    </row>
    <row r="950" spans="1:8" x14ac:dyDescent="0.3">
      <c r="A950" s="1">
        <v>46075</v>
      </c>
      <c r="B950">
        <v>13</v>
      </c>
      <c r="C950">
        <v>8</v>
      </c>
      <c r="D950">
        <v>30</v>
      </c>
      <c r="E950">
        <v>10363</v>
      </c>
      <c r="F950">
        <v>13</v>
      </c>
      <c r="G950" t="s">
        <v>794</v>
      </c>
      <c r="H950">
        <f>TIMEVALUE(SUBSTITUTE(SUBSTITUTE(_5__DAILY_USAGE_TREND[[#This Row],[TOTAL_DURATION]],"hour",":"),"min",""))</f>
        <v>0.83333333333333337</v>
      </c>
    </row>
    <row r="951" spans="1:8" x14ac:dyDescent="0.3">
      <c r="A951" s="1">
        <v>46076</v>
      </c>
      <c r="B951">
        <v>16</v>
      </c>
      <c r="C951">
        <v>9</v>
      </c>
      <c r="D951">
        <v>39</v>
      </c>
      <c r="E951">
        <v>14805</v>
      </c>
      <c r="F951">
        <v>16</v>
      </c>
      <c r="G951" t="s">
        <v>795</v>
      </c>
      <c r="H951">
        <f>TIMEVALUE(SUBSTITUTE(SUBSTITUTE(_5__DAILY_USAGE_TREND[[#This Row],[TOTAL_DURATION]],"hour",":"),"min",""))</f>
        <v>0.15208333333333313</v>
      </c>
    </row>
    <row r="952" spans="1:8" x14ac:dyDescent="0.3">
      <c r="A952" s="1">
        <v>46077</v>
      </c>
      <c r="B952">
        <v>15</v>
      </c>
      <c r="C952">
        <v>7</v>
      </c>
      <c r="D952">
        <v>35</v>
      </c>
      <c r="E952">
        <v>13043</v>
      </c>
      <c r="F952">
        <v>15</v>
      </c>
      <c r="G952" t="s">
        <v>366</v>
      </c>
      <c r="H952">
        <f>TIMEVALUE(SUBSTITUTE(SUBSTITUTE(_5__DAILY_USAGE_TREND[[#This Row],[TOTAL_DURATION]],"hour",":"),"min",""))</f>
        <v>0.19652777777777786</v>
      </c>
    </row>
    <row r="953" spans="1:8" x14ac:dyDescent="0.3">
      <c r="A953" s="1">
        <v>46078</v>
      </c>
      <c r="B953">
        <v>12</v>
      </c>
      <c r="C953">
        <v>7</v>
      </c>
      <c r="D953">
        <v>36</v>
      </c>
      <c r="E953">
        <v>15552</v>
      </c>
      <c r="F953">
        <v>12</v>
      </c>
      <c r="G953" t="s">
        <v>796</v>
      </c>
      <c r="H953">
        <f>TIMEVALUE(SUBSTITUTE(SUBSTITUTE(_5__DAILY_USAGE_TREND[[#This Row],[TOTAL_DURATION]],"hour",":"),"min",""))</f>
        <v>0.78263888888888888</v>
      </c>
    </row>
    <row r="954" spans="1:8" x14ac:dyDescent="0.3">
      <c r="A954" s="1">
        <v>46079</v>
      </c>
      <c r="B954">
        <v>12</v>
      </c>
      <c r="C954">
        <v>8</v>
      </c>
      <c r="D954">
        <v>31</v>
      </c>
      <c r="E954">
        <v>11385</v>
      </c>
      <c r="F954">
        <v>12</v>
      </c>
      <c r="G954" t="s">
        <v>797</v>
      </c>
      <c r="H954">
        <f>TIMEVALUE(SUBSTITUTE(SUBSTITUTE(_5__DAILY_USAGE_TREND[[#This Row],[TOTAL_DURATION]],"hour",":"),"min",""))</f>
        <v>0.37638888888888911</v>
      </c>
    </row>
    <row r="955" spans="1:8" x14ac:dyDescent="0.3">
      <c r="A955" s="1">
        <v>46080</v>
      </c>
      <c r="B955">
        <v>14</v>
      </c>
      <c r="C955">
        <v>7</v>
      </c>
      <c r="D955">
        <v>34</v>
      </c>
      <c r="E955">
        <v>12753</v>
      </c>
      <c r="F955">
        <v>14</v>
      </c>
      <c r="G955" t="s">
        <v>798</v>
      </c>
      <c r="H955">
        <f>TIMEVALUE(SUBSTITUTE(SUBSTITUTE(_5__DAILY_USAGE_TREND[[#This Row],[TOTAL_DURATION]],"hour",":"),"min",""))</f>
        <v>0.94722222222222219</v>
      </c>
    </row>
    <row r="956" spans="1:8" x14ac:dyDescent="0.3">
      <c r="A956" s="1">
        <v>46081</v>
      </c>
      <c r="B956">
        <v>12</v>
      </c>
      <c r="C956">
        <v>8</v>
      </c>
      <c r="D956">
        <v>24</v>
      </c>
      <c r="E956">
        <v>8378</v>
      </c>
      <c r="F956">
        <v>12</v>
      </c>
      <c r="G956" t="s">
        <v>799</v>
      </c>
      <c r="H956">
        <f>TIMEVALUE(SUBSTITUTE(SUBSTITUTE(_5__DAILY_USAGE_TREND[[#This Row],[TOTAL_DURATION]],"hour",":"),"min",""))</f>
        <v>0.3208333333333333</v>
      </c>
    </row>
    <row r="957" spans="1:8" x14ac:dyDescent="0.3">
      <c r="A957" s="1">
        <v>46082</v>
      </c>
      <c r="B957">
        <v>9</v>
      </c>
      <c r="C957">
        <v>5</v>
      </c>
      <c r="D957">
        <v>17</v>
      </c>
      <c r="E957">
        <v>5623</v>
      </c>
      <c r="F957">
        <v>9</v>
      </c>
      <c r="G957" t="s">
        <v>800</v>
      </c>
      <c r="H957">
        <f>TIMEVALUE(SUBSTITUTE(SUBSTITUTE(_5__DAILY_USAGE_TREND[[#This Row],[TOTAL_DURATION]],"hour",":"),"min",""))</f>
        <v>3.6805555555555536E-2</v>
      </c>
    </row>
    <row r="958" spans="1:8" x14ac:dyDescent="0.3">
      <c r="A958" s="1">
        <v>46083</v>
      </c>
      <c r="B958">
        <v>16</v>
      </c>
      <c r="C958">
        <v>8</v>
      </c>
      <c r="D958">
        <v>36</v>
      </c>
      <c r="E958">
        <v>11674</v>
      </c>
      <c r="F958">
        <v>16</v>
      </c>
      <c r="G958" t="s">
        <v>801</v>
      </c>
      <c r="H958">
        <f>TIMEVALUE(SUBSTITUTE(SUBSTITUTE(_5__DAILY_USAGE_TREND[[#This Row],[TOTAL_DURATION]],"hour",":"),"min",""))</f>
        <v>0.63611111111111107</v>
      </c>
    </row>
    <row r="959" spans="1:8" x14ac:dyDescent="0.3">
      <c r="A959" s="1">
        <v>46084</v>
      </c>
      <c r="B959">
        <v>8</v>
      </c>
      <c r="C959">
        <v>6</v>
      </c>
      <c r="D959">
        <v>19</v>
      </c>
      <c r="E959">
        <v>6340</v>
      </c>
      <c r="F959">
        <v>8</v>
      </c>
      <c r="G959" t="s">
        <v>802</v>
      </c>
      <c r="H959">
        <f>TIMEVALUE(SUBSTITUTE(SUBSTITUTE(_5__DAILY_USAGE_TREND[[#This Row],[TOTAL_DURATION]],"hour",":"),"min",""))</f>
        <v>0.36250000000000004</v>
      </c>
    </row>
    <row r="960" spans="1:8" x14ac:dyDescent="0.3">
      <c r="A960" s="1">
        <v>46085</v>
      </c>
      <c r="B960">
        <v>15</v>
      </c>
      <c r="C960">
        <v>7</v>
      </c>
      <c r="D960">
        <v>33</v>
      </c>
      <c r="E960">
        <v>11383</v>
      </c>
      <c r="F960">
        <v>15</v>
      </c>
      <c r="G960" t="s">
        <v>803</v>
      </c>
      <c r="H960">
        <f>TIMEVALUE(SUBSTITUTE(SUBSTITUTE(_5__DAILY_USAGE_TREND[[#This Row],[TOTAL_DURATION]],"hour",":"),"min",""))</f>
        <v>0.92777777777777781</v>
      </c>
    </row>
    <row r="961" spans="1:8" x14ac:dyDescent="0.3">
      <c r="A961" s="1">
        <v>46086</v>
      </c>
      <c r="B961">
        <v>9</v>
      </c>
      <c r="C961">
        <v>5</v>
      </c>
      <c r="D961">
        <v>21</v>
      </c>
      <c r="E961">
        <v>7081</v>
      </c>
      <c r="F961">
        <v>9</v>
      </c>
      <c r="G961" t="s">
        <v>804</v>
      </c>
      <c r="H961">
        <f>TIMEVALUE(SUBSTITUTE(SUBSTITUTE(_5__DAILY_USAGE_TREND[[#This Row],[TOTAL_DURATION]],"hour",":"),"min",""))</f>
        <v>0.98055555555555551</v>
      </c>
    </row>
    <row r="962" spans="1:8" x14ac:dyDescent="0.3">
      <c r="A962" s="1">
        <v>46087</v>
      </c>
      <c r="B962">
        <v>13</v>
      </c>
      <c r="C962">
        <v>7</v>
      </c>
      <c r="D962">
        <v>23</v>
      </c>
      <c r="E962">
        <v>9258</v>
      </c>
      <c r="F962">
        <v>13</v>
      </c>
      <c r="G962" t="s">
        <v>787</v>
      </c>
      <c r="H962">
        <f>TIMEVALUE(SUBSTITUTE(SUBSTITUTE(_5__DAILY_USAGE_TREND[[#This Row],[TOTAL_DURATION]],"hour",":"),"min",""))</f>
        <v>0.71944444444444444</v>
      </c>
    </row>
    <row r="963" spans="1:8" x14ac:dyDescent="0.3">
      <c r="A963" s="1">
        <v>46088</v>
      </c>
      <c r="B963">
        <v>15</v>
      </c>
      <c r="C963">
        <v>9</v>
      </c>
      <c r="D963">
        <v>25</v>
      </c>
      <c r="E963">
        <v>9369</v>
      </c>
      <c r="F963">
        <v>15</v>
      </c>
      <c r="G963" t="s">
        <v>805</v>
      </c>
      <c r="H963">
        <f>TIMEVALUE(SUBSTITUTE(SUBSTITUTE(_5__DAILY_USAGE_TREND[[#This Row],[TOTAL_DURATION]],"hour",":"),"min",""))</f>
        <v>0.37569444444444455</v>
      </c>
    </row>
    <row r="964" spans="1:8" x14ac:dyDescent="0.3">
      <c r="A964" s="1">
        <v>46089</v>
      </c>
      <c r="B964">
        <v>19</v>
      </c>
      <c r="C964">
        <v>8</v>
      </c>
      <c r="D964">
        <v>41</v>
      </c>
      <c r="E964">
        <v>16852</v>
      </c>
      <c r="F964">
        <v>19</v>
      </c>
      <c r="G964" t="s">
        <v>806</v>
      </c>
      <c r="H964">
        <f>TIMEVALUE(SUBSTITUTE(SUBSTITUTE(_5__DAILY_USAGE_TREND[[#This Row],[TOTAL_DURATION]],"hour",":"),"min",""))</f>
        <v>0.38472222222222241</v>
      </c>
    </row>
    <row r="965" spans="1:8" x14ac:dyDescent="0.3">
      <c r="A965" s="1">
        <v>46090</v>
      </c>
      <c r="B965">
        <v>10</v>
      </c>
      <c r="C965">
        <v>6</v>
      </c>
      <c r="D965">
        <v>18</v>
      </c>
      <c r="E965">
        <v>7333</v>
      </c>
      <c r="F965">
        <v>10</v>
      </c>
      <c r="G965" t="s">
        <v>807</v>
      </c>
      <c r="H965">
        <f>TIMEVALUE(SUBSTITUTE(SUBSTITUTE(_5__DAILY_USAGE_TREND[[#This Row],[TOTAL_DURATION]],"hour",":"),"min",""))</f>
        <v>0.5048611111111112</v>
      </c>
    </row>
    <row r="966" spans="1:8" x14ac:dyDescent="0.3">
      <c r="A966" s="1">
        <v>46091</v>
      </c>
      <c r="B966">
        <v>10</v>
      </c>
      <c r="C966">
        <v>7</v>
      </c>
      <c r="D966">
        <v>17</v>
      </c>
      <c r="E966">
        <v>6980</v>
      </c>
      <c r="F966">
        <v>10</v>
      </c>
      <c r="G966" t="s">
        <v>808</v>
      </c>
      <c r="H966">
        <f>TIMEVALUE(SUBSTITUTE(SUBSTITUTE(_5__DAILY_USAGE_TREND[[#This Row],[TOTAL_DURATION]],"hour",":"),"min",""))</f>
        <v>0.31875000000000009</v>
      </c>
    </row>
    <row r="967" spans="1:8" x14ac:dyDescent="0.3">
      <c r="A967" s="1">
        <v>46092</v>
      </c>
      <c r="B967">
        <v>19</v>
      </c>
      <c r="C967">
        <v>9</v>
      </c>
      <c r="D967">
        <v>54</v>
      </c>
      <c r="E967">
        <v>18068</v>
      </c>
      <c r="F967">
        <v>19</v>
      </c>
      <c r="G967" t="s">
        <v>809</v>
      </c>
      <c r="H967">
        <f>TIMEVALUE(SUBSTITUTE(SUBSTITUTE(_5__DAILY_USAGE_TREND[[#This Row],[TOTAL_DURATION]],"hour",":"),"min",""))</f>
        <v>0.56388888888888911</v>
      </c>
    </row>
    <row r="968" spans="1:8" x14ac:dyDescent="0.3">
      <c r="A968" s="1">
        <v>46093</v>
      </c>
      <c r="B968">
        <v>11</v>
      </c>
      <c r="C968">
        <v>9</v>
      </c>
      <c r="D968">
        <v>23</v>
      </c>
      <c r="E968">
        <v>7263</v>
      </c>
      <c r="F968">
        <v>11</v>
      </c>
      <c r="G968" t="s">
        <v>810</v>
      </c>
      <c r="H968">
        <f>TIMEVALUE(SUBSTITUTE(SUBSTITUTE(_5__DAILY_USAGE_TREND[[#This Row],[TOTAL_DURATION]],"hour",":"),"min",""))</f>
        <v>0.90277777777777779</v>
      </c>
    </row>
    <row r="969" spans="1:8" x14ac:dyDescent="0.3">
      <c r="A969" s="1">
        <v>46094</v>
      </c>
      <c r="B969">
        <v>14</v>
      </c>
      <c r="C969">
        <v>7</v>
      </c>
      <c r="D969">
        <v>25</v>
      </c>
      <c r="E969">
        <v>9251</v>
      </c>
      <c r="F969">
        <v>14</v>
      </c>
      <c r="G969" t="s">
        <v>811</v>
      </c>
      <c r="H969">
        <f>TIMEVALUE(SUBSTITUTE(SUBSTITUTE(_5__DAILY_USAGE_TREND[[#This Row],[TOTAL_DURATION]],"hour",":"),"min",""))</f>
        <v>0.93194444444444446</v>
      </c>
    </row>
    <row r="970" spans="1:8" x14ac:dyDescent="0.3">
      <c r="A970" s="1">
        <v>46095</v>
      </c>
      <c r="B970">
        <v>11</v>
      </c>
      <c r="C970">
        <v>6</v>
      </c>
      <c r="D970">
        <v>21</v>
      </c>
      <c r="E970">
        <v>8065</v>
      </c>
      <c r="F970">
        <v>11</v>
      </c>
      <c r="G970" t="s">
        <v>812</v>
      </c>
      <c r="H970">
        <f>TIMEVALUE(SUBSTITUTE(SUBSTITUTE(_5__DAILY_USAGE_TREND[[#This Row],[TOTAL_DURATION]],"hour",":"),"min",""))</f>
        <v>0.34375</v>
      </c>
    </row>
    <row r="971" spans="1:8" x14ac:dyDescent="0.3">
      <c r="A971" s="1">
        <v>46096</v>
      </c>
      <c r="B971">
        <v>13</v>
      </c>
      <c r="C971">
        <v>7</v>
      </c>
      <c r="D971">
        <v>39</v>
      </c>
      <c r="E971">
        <v>13013</v>
      </c>
      <c r="F971">
        <v>13</v>
      </c>
      <c r="G971" t="s">
        <v>813</v>
      </c>
      <c r="H971">
        <f>TIMEVALUE(SUBSTITUTE(SUBSTITUTE(_5__DAILY_USAGE_TREND[[#This Row],[TOTAL_DURATION]],"hour",":"),"min",""))</f>
        <v>0.33611111111111125</v>
      </c>
    </row>
    <row r="972" spans="1:8" x14ac:dyDescent="0.3">
      <c r="A972" s="1">
        <v>46097</v>
      </c>
      <c r="B972">
        <v>8</v>
      </c>
      <c r="C972">
        <v>6</v>
      </c>
      <c r="D972">
        <v>24</v>
      </c>
      <c r="E972">
        <v>8131</v>
      </c>
      <c r="F972">
        <v>8</v>
      </c>
      <c r="G972" t="s">
        <v>814</v>
      </c>
      <c r="H972">
        <f>TIMEVALUE(SUBSTITUTE(SUBSTITUTE(_5__DAILY_USAGE_TREND[[#This Row],[TOTAL_DURATION]],"hour",":"),"min",""))</f>
        <v>0.61874999999999991</v>
      </c>
    </row>
    <row r="973" spans="1:8" x14ac:dyDescent="0.3">
      <c r="A973" s="1">
        <v>46098</v>
      </c>
      <c r="B973">
        <v>16</v>
      </c>
      <c r="C973">
        <v>7</v>
      </c>
      <c r="D973">
        <v>32</v>
      </c>
      <c r="E973">
        <v>11878</v>
      </c>
      <c r="F973">
        <v>16</v>
      </c>
      <c r="G973" t="s">
        <v>815</v>
      </c>
      <c r="H973">
        <f>TIMEVALUE(SUBSTITUTE(SUBSTITUTE(_5__DAILY_USAGE_TREND[[#This Row],[TOTAL_DURATION]],"hour",":"),"min",""))</f>
        <v>0.63680555555555562</v>
      </c>
    </row>
    <row r="974" spans="1:8" x14ac:dyDescent="0.3">
      <c r="A974" s="1">
        <v>46099</v>
      </c>
      <c r="B974">
        <v>18</v>
      </c>
      <c r="C974">
        <v>7</v>
      </c>
      <c r="D974">
        <v>51</v>
      </c>
      <c r="E974">
        <v>18518</v>
      </c>
      <c r="F974">
        <v>18</v>
      </c>
      <c r="G974" t="s">
        <v>816</v>
      </c>
      <c r="H974">
        <f>TIMEVALUE(SUBSTITUTE(SUBSTITUTE(_5__DAILY_USAGE_TREND[[#This Row],[TOTAL_DURATION]],"hour",":"),"min",""))</f>
        <v>0.76597222222222205</v>
      </c>
    </row>
    <row r="975" spans="1:8" x14ac:dyDescent="0.3">
      <c r="A975" s="1">
        <v>46100</v>
      </c>
      <c r="B975">
        <v>13</v>
      </c>
      <c r="C975">
        <v>7</v>
      </c>
      <c r="D975">
        <v>30</v>
      </c>
      <c r="E975">
        <v>11213</v>
      </c>
      <c r="F975">
        <v>13</v>
      </c>
      <c r="G975" t="s">
        <v>817</v>
      </c>
      <c r="H975">
        <f>TIMEVALUE(SUBSTITUTE(SUBSTITUTE(_5__DAILY_USAGE_TREND[[#This Row],[TOTAL_DURATION]],"hour",":"),"min",""))</f>
        <v>0.70763888888888893</v>
      </c>
    </row>
    <row r="976" spans="1:8" x14ac:dyDescent="0.3">
      <c r="A976" s="1">
        <v>46101</v>
      </c>
      <c r="B976">
        <v>14</v>
      </c>
      <c r="C976">
        <v>8</v>
      </c>
      <c r="D976">
        <v>27</v>
      </c>
      <c r="E976">
        <v>9344</v>
      </c>
      <c r="F976">
        <v>14</v>
      </c>
      <c r="G976" t="s">
        <v>818</v>
      </c>
      <c r="H976">
        <f>TIMEVALUE(SUBSTITUTE(SUBSTITUTE(_5__DAILY_USAGE_TREND[[#This Row],[TOTAL_DURATION]],"hour",":"),"min",""))</f>
        <v>4.0277777777777857E-2</v>
      </c>
    </row>
    <row r="977" spans="1:8" x14ac:dyDescent="0.3">
      <c r="A977" s="1">
        <v>46102</v>
      </c>
      <c r="B977">
        <v>13</v>
      </c>
      <c r="C977">
        <v>7</v>
      </c>
      <c r="D977">
        <v>37</v>
      </c>
      <c r="E977">
        <v>13620</v>
      </c>
      <c r="F977">
        <v>13</v>
      </c>
      <c r="G977" t="s">
        <v>819</v>
      </c>
      <c r="H977">
        <f>TIMEVALUE(SUBSTITUTE(SUBSTITUTE(_5__DAILY_USAGE_TREND[[#This Row],[TOTAL_DURATION]],"hour",":"),"min",""))</f>
        <v>0.13402777777777786</v>
      </c>
    </row>
    <row r="978" spans="1:8" x14ac:dyDescent="0.3">
      <c r="A978" s="1">
        <v>46103</v>
      </c>
      <c r="B978">
        <v>12</v>
      </c>
      <c r="C978">
        <v>7</v>
      </c>
      <c r="D978">
        <v>31</v>
      </c>
      <c r="E978">
        <v>10759</v>
      </c>
      <c r="F978">
        <v>12</v>
      </c>
      <c r="G978" t="s">
        <v>820</v>
      </c>
      <c r="H978">
        <f>TIMEVALUE(SUBSTITUTE(SUBSTITUTE(_5__DAILY_USAGE_TREND[[#This Row],[TOTAL_DURATION]],"hour",":"),"min",""))</f>
        <v>0.6645833333333333</v>
      </c>
    </row>
    <row r="979" spans="1:8" x14ac:dyDescent="0.3">
      <c r="A979" s="1">
        <v>46104</v>
      </c>
      <c r="B979">
        <v>17</v>
      </c>
      <c r="C979">
        <v>9</v>
      </c>
      <c r="D979">
        <v>37</v>
      </c>
      <c r="E979">
        <v>12987</v>
      </c>
      <c r="F979">
        <v>17</v>
      </c>
      <c r="G979" t="s">
        <v>821</v>
      </c>
      <c r="H979">
        <f>TIMEVALUE(SUBSTITUTE(SUBSTITUTE(_5__DAILY_USAGE_TREND[[#This Row],[TOTAL_DURATION]],"hour",":"),"min",""))</f>
        <v>0.6611111111111112</v>
      </c>
    </row>
    <row r="980" spans="1:8" x14ac:dyDescent="0.3">
      <c r="A980" s="1">
        <v>46105</v>
      </c>
      <c r="B980">
        <v>8</v>
      </c>
      <c r="C980">
        <v>6</v>
      </c>
      <c r="D980">
        <v>20</v>
      </c>
      <c r="E980">
        <v>5998</v>
      </c>
      <c r="F980">
        <v>8</v>
      </c>
      <c r="G980" t="s">
        <v>518</v>
      </c>
      <c r="H980">
        <f>TIMEVALUE(SUBSTITUTE(SUBSTITUTE(_5__DAILY_USAGE_TREND[[#This Row],[TOTAL_DURATION]],"hour",":"),"min",""))</f>
        <v>7.0138888888888973E-2</v>
      </c>
    </row>
    <row r="981" spans="1:8" x14ac:dyDescent="0.3">
      <c r="A981" s="1">
        <v>46106</v>
      </c>
      <c r="B981">
        <v>22</v>
      </c>
      <c r="C981">
        <v>10</v>
      </c>
      <c r="D981">
        <v>44</v>
      </c>
      <c r="E981">
        <v>14978</v>
      </c>
      <c r="F981">
        <v>22</v>
      </c>
      <c r="G981" t="s">
        <v>822</v>
      </c>
      <c r="H981">
        <f>TIMEVALUE(SUBSTITUTE(SUBSTITUTE(_5__DAILY_USAGE_TREND[[#This Row],[TOTAL_DURATION]],"hour",":"),"min",""))</f>
        <v>0.74444444444444446</v>
      </c>
    </row>
    <row r="982" spans="1:8" x14ac:dyDescent="0.3">
      <c r="A982" s="1">
        <v>46107</v>
      </c>
      <c r="B982">
        <v>16</v>
      </c>
      <c r="C982">
        <v>7</v>
      </c>
      <c r="D982">
        <v>37</v>
      </c>
      <c r="E982">
        <v>14956</v>
      </c>
      <c r="F982">
        <v>16</v>
      </c>
      <c r="G982" t="s">
        <v>823</v>
      </c>
      <c r="H982">
        <f>TIMEVALUE(SUBSTITUTE(SUBSTITUTE(_5__DAILY_USAGE_TREND[[#This Row],[TOTAL_DURATION]],"hour",":"),"min",""))</f>
        <v>0.23958333333333348</v>
      </c>
    </row>
    <row r="983" spans="1:8" x14ac:dyDescent="0.3">
      <c r="A983" s="1">
        <v>46108</v>
      </c>
      <c r="B983">
        <v>4</v>
      </c>
      <c r="C983">
        <v>4</v>
      </c>
      <c r="D983">
        <v>13</v>
      </c>
      <c r="E983">
        <v>4201</v>
      </c>
      <c r="F983">
        <v>4</v>
      </c>
      <c r="G983" t="s">
        <v>824</v>
      </c>
      <c r="H983">
        <f>TIMEVALUE(SUBSTITUTE(SUBSTITUTE(_5__DAILY_USAGE_TREND[[#This Row],[TOTAL_DURATION]],"hour",":"),"min",""))</f>
        <v>0.62708333333333333</v>
      </c>
    </row>
    <row r="984" spans="1:8" x14ac:dyDescent="0.3">
      <c r="A984" s="1">
        <v>46109</v>
      </c>
      <c r="B984">
        <v>11</v>
      </c>
      <c r="C984">
        <v>7</v>
      </c>
      <c r="D984">
        <v>27</v>
      </c>
      <c r="E984">
        <v>10939</v>
      </c>
      <c r="F984">
        <v>11</v>
      </c>
      <c r="G984" t="s">
        <v>825</v>
      </c>
      <c r="H984">
        <f>TIMEVALUE(SUBSTITUTE(SUBSTITUTE(_5__DAILY_USAGE_TREND[[#This Row],[TOTAL_DURATION]],"hour",":"),"min",""))</f>
        <v>0.35138888888888875</v>
      </c>
    </row>
    <row r="985" spans="1:8" x14ac:dyDescent="0.3">
      <c r="A985" s="1">
        <v>46110</v>
      </c>
      <c r="B985">
        <v>12</v>
      </c>
      <c r="C985">
        <v>6</v>
      </c>
      <c r="D985">
        <v>27</v>
      </c>
      <c r="E985">
        <v>10447</v>
      </c>
      <c r="F985">
        <v>12</v>
      </c>
      <c r="G985" t="s">
        <v>826</v>
      </c>
      <c r="H985">
        <f>TIMEVALUE(SUBSTITUTE(SUBSTITUTE(_5__DAILY_USAGE_TREND[[#This Row],[TOTAL_DURATION]],"hour",":"),"min",""))</f>
        <v>0.59166666666666667</v>
      </c>
    </row>
    <row r="986" spans="1:8" x14ac:dyDescent="0.3">
      <c r="A986" s="1">
        <v>46111</v>
      </c>
      <c r="B986">
        <v>14</v>
      </c>
      <c r="C986">
        <v>9</v>
      </c>
      <c r="D986">
        <v>32</v>
      </c>
      <c r="E986">
        <v>10455</v>
      </c>
      <c r="F986">
        <v>14</v>
      </c>
      <c r="G986" t="s">
        <v>827</v>
      </c>
      <c r="H986">
        <f>TIMEVALUE(SUBSTITUTE(SUBSTITUTE(_5__DAILY_USAGE_TREND[[#This Row],[TOTAL_DURATION]],"hour",":"),"min",""))</f>
        <v>0.70833333333333304</v>
      </c>
    </row>
    <row r="987" spans="1:8" x14ac:dyDescent="0.3">
      <c r="A987" s="1">
        <v>46112</v>
      </c>
      <c r="B987">
        <v>10</v>
      </c>
      <c r="C987">
        <v>6</v>
      </c>
      <c r="D987">
        <v>21</v>
      </c>
      <c r="E987">
        <v>7584</v>
      </c>
      <c r="F987">
        <v>10</v>
      </c>
      <c r="G987" t="s">
        <v>828</v>
      </c>
      <c r="H987">
        <f>TIMEVALUE(SUBSTITUTE(SUBSTITUTE(_5__DAILY_USAGE_TREND[[#This Row],[TOTAL_DURATION]],"hour",":"),"min",""))</f>
        <v>0.90555555555555556</v>
      </c>
    </row>
    <row r="988" spans="1:8" x14ac:dyDescent="0.3">
      <c r="A988" s="1">
        <v>46113</v>
      </c>
      <c r="B988">
        <v>17</v>
      </c>
      <c r="C988">
        <v>10</v>
      </c>
      <c r="D988">
        <v>35</v>
      </c>
      <c r="E988">
        <v>11362</v>
      </c>
      <c r="F988">
        <v>18</v>
      </c>
      <c r="G988" t="s">
        <v>829</v>
      </c>
      <c r="H988">
        <f>TIMEVALUE(SUBSTITUTE(SUBSTITUTE(_5__DAILY_USAGE_TREND[[#This Row],[TOTAL_DURATION]],"hour",":"),"min",""))</f>
        <v>0.25138888888888911</v>
      </c>
    </row>
    <row r="989" spans="1:8" x14ac:dyDescent="0.3">
      <c r="A989" s="1">
        <v>46114</v>
      </c>
      <c r="B989">
        <v>17</v>
      </c>
      <c r="C989">
        <v>8</v>
      </c>
      <c r="D989">
        <v>37</v>
      </c>
      <c r="E989">
        <v>13620</v>
      </c>
      <c r="F989">
        <v>17</v>
      </c>
      <c r="G989" t="s">
        <v>830</v>
      </c>
      <c r="H989">
        <f>TIMEVALUE(SUBSTITUTE(SUBSTITUTE(_5__DAILY_USAGE_TREND[[#This Row],[TOTAL_DURATION]],"hour",":"),"min",""))</f>
        <v>1.2500000000000178E-2</v>
      </c>
    </row>
    <row r="990" spans="1:8" x14ac:dyDescent="0.3">
      <c r="A990" s="1">
        <v>46115</v>
      </c>
      <c r="B990">
        <v>15</v>
      </c>
      <c r="C990">
        <v>9</v>
      </c>
      <c r="D990">
        <v>27</v>
      </c>
      <c r="E990">
        <v>10137</v>
      </c>
      <c r="F990">
        <v>15</v>
      </c>
      <c r="G990" t="s">
        <v>831</v>
      </c>
      <c r="H990">
        <f>TIMEVALUE(SUBSTITUTE(SUBSTITUTE(_5__DAILY_USAGE_TREND[[#This Row],[TOTAL_DURATION]],"hour",":"),"min",""))</f>
        <v>0.99444444444444446</v>
      </c>
    </row>
    <row r="991" spans="1:8" x14ac:dyDescent="0.3">
      <c r="A991" s="1">
        <v>46116</v>
      </c>
      <c r="B991">
        <v>15</v>
      </c>
      <c r="C991">
        <v>8</v>
      </c>
      <c r="D991">
        <v>40</v>
      </c>
      <c r="E991">
        <v>14096</v>
      </c>
      <c r="F991">
        <v>15</v>
      </c>
      <c r="G991" t="s">
        <v>832</v>
      </c>
      <c r="H991">
        <f>TIMEVALUE(SUBSTITUTE(SUBSTITUTE(_5__DAILY_USAGE_TREND[[#This Row],[TOTAL_DURATION]],"hour",":"),"min",""))</f>
        <v>0.51805555555555571</v>
      </c>
    </row>
    <row r="992" spans="1:8" x14ac:dyDescent="0.3">
      <c r="A992" s="1">
        <v>46117</v>
      </c>
      <c r="B992">
        <v>19</v>
      </c>
      <c r="C992">
        <v>8</v>
      </c>
      <c r="D992">
        <v>49</v>
      </c>
      <c r="E992">
        <v>19788</v>
      </c>
      <c r="F992">
        <v>19</v>
      </c>
      <c r="G992" t="s">
        <v>833</v>
      </c>
      <c r="H992">
        <f>TIMEVALUE(SUBSTITUTE(SUBSTITUTE(_5__DAILY_USAGE_TREND[[#This Row],[TOTAL_DURATION]],"hour",":"),"min",""))</f>
        <v>0.64861111111111125</v>
      </c>
    </row>
    <row r="993" spans="1:8" x14ac:dyDescent="0.3">
      <c r="A993" s="1">
        <v>46118</v>
      </c>
      <c r="B993">
        <v>18</v>
      </c>
      <c r="C993">
        <v>10</v>
      </c>
      <c r="D993">
        <v>43</v>
      </c>
      <c r="E993">
        <v>16854</v>
      </c>
      <c r="F993">
        <v>18</v>
      </c>
      <c r="G993" t="s">
        <v>834</v>
      </c>
      <c r="H993">
        <f>TIMEVALUE(SUBSTITUTE(SUBSTITUTE(_5__DAILY_USAGE_TREND[[#This Row],[TOTAL_DURATION]],"hour",":"),"min",""))</f>
        <v>0.65555555555555545</v>
      </c>
    </row>
    <row r="994" spans="1:8" x14ac:dyDescent="0.3">
      <c r="A994" s="1">
        <v>46119</v>
      </c>
      <c r="B994">
        <v>11</v>
      </c>
      <c r="C994">
        <v>7</v>
      </c>
      <c r="D994">
        <v>34</v>
      </c>
      <c r="E994">
        <v>11205</v>
      </c>
      <c r="F994">
        <v>11</v>
      </c>
      <c r="G994" t="s">
        <v>835</v>
      </c>
      <c r="H994">
        <f>TIMEVALUE(SUBSTITUTE(SUBSTITUTE(_5__DAILY_USAGE_TREND[[#This Row],[TOTAL_DURATION]],"hour",":"),"min",""))</f>
        <v>0.66319444444444464</v>
      </c>
    </row>
    <row r="995" spans="1:8" x14ac:dyDescent="0.3">
      <c r="A995" s="1">
        <v>46120</v>
      </c>
      <c r="B995">
        <v>16</v>
      </c>
      <c r="C995">
        <v>10</v>
      </c>
      <c r="D995">
        <v>36</v>
      </c>
      <c r="E995">
        <v>13015</v>
      </c>
      <c r="F995">
        <v>16</v>
      </c>
      <c r="G995" t="s">
        <v>836</v>
      </c>
      <c r="H995">
        <f>TIMEVALUE(SUBSTITUTE(SUBSTITUTE(_5__DAILY_USAGE_TREND[[#This Row],[TOTAL_DURATION]],"hour",":"),"min",""))</f>
        <v>0.45347222222222228</v>
      </c>
    </row>
    <row r="996" spans="1:8" x14ac:dyDescent="0.3">
      <c r="A996" s="1">
        <v>46121</v>
      </c>
      <c r="B996">
        <v>13</v>
      </c>
      <c r="C996">
        <v>7</v>
      </c>
      <c r="D996">
        <v>32</v>
      </c>
      <c r="E996">
        <v>12708</v>
      </c>
      <c r="F996">
        <v>13</v>
      </c>
      <c r="G996" t="s">
        <v>837</v>
      </c>
      <c r="H996">
        <f>TIMEVALUE(SUBSTITUTE(SUBSTITUTE(_5__DAILY_USAGE_TREND[[#This Row],[TOTAL_DURATION]],"hour",":"),"min",""))</f>
        <v>0.94375000000000009</v>
      </c>
    </row>
    <row r="997" spans="1:8" x14ac:dyDescent="0.3">
      <c r="A997" s="1">
        <v>46122</v>
      </c>
      <c r="B997">
        <v>9</v>
      </c>
      <c r="C997">
        <v>5</v>
      </c>
      <c r="D997">
        <v>23</v>
      </c>
      <c r="E997">
        <v>8878</v>
      </c>
      <c r="F997">
        <v>9</v>
      </c>
      <c r="G997" t="s">
        <v>838</v>
      </c>
      <c r="H997">
        <f>TIMEVALUE(SUBSTITUTE(SUBSTITUTE(_5__DAILY_USAGE_TREND[[#This Row],[TOTAL_DURATION]],"hour",":"),"min",""))</f>
        <v>0.2729166666666667</v>
      </c>
    </row>
    <row r="998" spans="1:8" x14ac:dyDescent="0.3">
      <c r="A998" s="1">
        <v>46123</v>
      </c>
      <c r="B998">
        <v>17</v>
      </c>
      <c r="C998">
        <v>9</v>
      </c>
      <c r="D998">
        <v>29</v>
      </c>
      <c r="E998">
        <v>9337</v>
      </c>
      <c r="F998">
        <v>17</v>
      </c>
      <c r="G998" t="s">
        <v>839</v>
      </c>
      <c r="H998">
        <f>TIMEVALUE(SUBSTITUTE(SUBSTITUTE(_5__DAILY_USAGE_TREND[[#This Row],[TOTAL_DURATION]],"hour",":"),"min",""))</f>
        <v>0.23888888888888893</v>
      </c>
    </row>
    <row r="999" spans="1:8" x14ac:dyDescent="0.3">
      <c r="A999" s="1">
        <v>46124</v>
      </c>
      <c r="B999">
        <v>14</v>
      </c>
      <c r="C999">
        <v>6</v>
      </c>
      <c r="D999">
        <v>26</v>
      </c>
      <c r="E999">
        <v>9143</v>
      </c>
      <c r="F999">
        <v>14</v>
      </c>
      <c r="G999" t="s">
        <v>840</v>
      </c>
      <c r="H999">
        <f>TIMEVALUE(SUBSTITUTE(SUBSTITUTE(_5__DAILY_USAGE_TREND[[#This Row],[TOTAL_DURATION]],"hour",":"),"min",""))</f>
        <v>0.9506944444444444</v>
      </c>
    </row>
    <row r="1000" spans="1:8" x14ac:dyDescent="0.3">
      <c r="A1000" s="1">
        <v>46125</v>
      </c>
      <c r="B1000">
        <v>11</v>
      </c>
      <c r="C1000">
        <v>7</v>
      </c>
      <c r="D1000">
        <v>32</v>
      </c>
      <c r="E1000">
        <v>11876</v>
      </c>
      <c r="F1000">
        <v>11</v>
      </c>
      <c r="G1000" t="s">
        <v>841</v>
      </c>
      <c r="H1000">
        <f>TIMEVALUE(SUBSTITUTE(SUBSTITUTE(_5__DAILY_USAGE_TREND[[#This Row],[TOTAL_DURATION]],"hour",":"),"min",""))</f>
        <v>0.45972222222222214</v>
      </c>
    </row>
    <row r="1001" spans="1:8" x14ac:dyDescent="0.3">
      <c r="A1001" s="1">
        <v>46126</v>
      </c>
      <c r="B1001">
        <v>24</v>
      </c>
      <c r="C1001">
        <v>9</v>
      </c>
      <c r="D1001">
        <v>50</v>
      </c>
      <c r="E1001">
        <v>18632</v>
      </c>
      <c r="F1001">
        <v>24</v>
      </c>
      <c r="G1001" t="s">
        <v>842</v>
      </c>
      <c r="H1001">
        <f>TIMEVALUE(SUBSTITUTE(SUBSTITUTE(_5__DAILY_USAGE_TREND[[#This Row],[TOTAL_DURATION]],"hour",":"),"min",""))</f>
        <v>6.4583333333333215E-2</v>
      </c>
    </row>
    <row r="1002" spans="1:8" x14ac:dyDescent="0.3">
      <c r="A1002" s="1">
        <v>46127</v>
      </c>
      <c r="B1002">
        <v>16</v>
      </c>
      <c r="C1002">
        <v>8</v>
      </c>
      <c r="D1002">
        <v>43</v>
      </c>
      <c r="E1002">
        <v>16393</v>
      </c>
      <c r="F1002">
        <v>16</v>
      </c>
      <c r="G1002" t="s">
        <v>843</v>
      </c>
      <c r="H1002">
        <f>TIMEVALUE(SUBSTITUTE(SUBSTITUTE(_5__DAILY_USAGE_TREND[[#This Row],[TOTAL_DURATION]],"hour",":"),"min",""))</f>
        <v>0.78819444444444464</v>
      </c>
    </row>
    <row r="1003" spans="1:8" x14ac:dyDescent="0.3">
      <c r="A1003" s="1">
        <v>46128</v>
      </c>
      <c r="B1003">
        <v>19</v>
      </c>
      <c r="C1003">
        <v>7</v>
      </c>
      <c r="D1003">
        <v>42</v>
      </c>
      <c r="E1003">
        <v>16637</v>
      </c>
      <c r="F1003">
        <v>19</v>
      </c>
      <c r="G1003" t="s">
        <v>844</v>
      </c>
      <c r="H1003">
        <f>TIMEVALUE(SUBSTITUTE(SUBSTITUTE(_5__DAILY_USAGE_TREND[[#This Row],[TOTAL_DURATION]],"hour",":"),"min",""))</f>
        <v>0.57499999999999996</v>
      </c>
    </row>
    <row r="1004" spans="1:8" x14ac:dyDescent="0.3">
      <c r="A1004" s="1">
        <v>46129</v>
      </c>
      <c r="B1004">
        <v>20</v>
      </c>
      <c r="C1004">
        <v>9</v>
      </c>
      <c r="D1004">
        <v>42</v>
      </c>
      <c r="E1004">
        <v>12648</v>
      </c>
      <c r="F1004">
        <v>20</v>
      </c>
      <c r="G1004" t="s">
        <v>845</v>
      </c>
      <c r="H1004">
        <f>TIMEVALUE(SUBSTITUTE(SUBSTITUTE(_5__DAILY_USAGE_TREND[[#This Row],[TOTAL_DURATION]],"hour",":"),"min",""))</f>
        <v>0.95763888888888893</v>
      </c>
    </row>
    <row r="1005" spans="1:8" x14ac:dyDescent="0.3">
      <c r="A1005" s="1">
        <v>46130</v>
      </c>
      <c r="B1005">
        <v>9</v>
      </c>
      <c r="C1005">
        <v>7</v>
      </c>
      <c r="D1005">
        <v>30</v>
      </c>
      <c r="E1005">
        <v>11242</v>
      </c>
      <c r="F1005">
        <v>9</v>
      </c>
      <c r="G1005" t="s">
        <v>846</v>
      </c>
      <c r="H1005">
        <f>TIMEVALUE(SUBSTITUTE(SUBSTITUTE(_5__DAILY_USAGE_TREND[[#This Row],[TOTAL_DURATION]],"hour",":"),"min",""))</f>
        <v>0.24444444444444446</v>
      </c>
    </row>
    <row r="1006" spans="1:8" x14ac:dyDescent="0.3">
      <c r="A1006" s="1">
        <v>46131</v>
      </c>
      <c r="B1006">
        <v>14</v>
      </c>
      <c r="C1006">
        <v>8</v>
      </c>
      <c r="D1006">
        <v>34</v>
      </c>
      <c r="E1006">
        <v>11801</v>
      </c>
      <c r="F1006">
        <v>14</v>
      </c>
      <c r="G1006" t="s">
        <v>847</v>
      </c>
      <c r="H1006">
        <f>TIMEVALUE(SUBSTITUTE(SUBSTITUTE(_5__DAILY_USAGE_TREND[[#This Row],[TOTAL_DURATION]],"hour",":"),"min",""))</f>
        <v>0.42013888888888884</v>
      </c>
    </row>
    <row r="1007" spans="1:8" x14ac:dyDescent="0.3">
      <c r="A1007" s="1">
        <v>46132</v>
      </c>
      <c r="B1007">
        <v>16</v>
      </c>
      <c r="C1007">
        <v>9</v>
      </c>
      <c r="D1007">
        <v>44</v>
      </c>
      <c r="E1007">
        <v>17180</v>
      </c>
      <c r="F1007">
        <v>16</v>
      </c>
      <c r="G1007" t="s">
        <v>848</v>
      </c>
      <c r="H1007">
        <f>TIMEVALUE(SUBSTITUTE(SUBSTITUTE(_5__DAILY_USAGE_TREND[[#This Row],[TOTAL_DURATION]],"hour",":"),"min",""))</f>
        <v>0.19166666666666687</v>
      </c>
    </row>
    <row r="1008" spans="1:8" x14ac:dyDescent="0.3">
      <c r="A1008" s="1">
        <v>46133</v>
      </c>
      <c r="B1008">
        <v>10</v>
      </c>
      <c r="C1008">
        <v>4</v>
      </c>
      <c r="D1008">
        <v>21</v>
      </c>
      <c r="E1008">
        <v>7925</v>
      </c>
      <c r="F1008">
        <v>10</v>
      </c>
      <c r="G1008" t="s">
        <v>849</v>
      </c>
      <c r="H1008">
        <f>TIMEVALUE(SUBSTITUTE(SUBSTITUTE(_5__DAILY_USAGE_TREND[[#This Row],[TOTAL_DURATION]],"hour",":"),"min",""))</f>
        <v>0.79861111111111116</v>
      </c>
    </row>
    <row r="1009" spans="1:8" x14ac:dyDescent="0.3">
      <c r="A1009" s="1">
        <v>46134</v>
      </c>
      <c r="B1009">
        <v>10</v>
      </c>
      <c r="C1009">
        <v>7</v>
      </c>
      <c r="D1009">
        <v>24</v>
      </c>
      <c r="E1009">
        <v>7664</v>
      </c>
      <c r="F1009">
        <v>10</v>
      </c>
      <c r="G1009" t="s">
        <v>850</v>
      </c>
      <c r="H1009">
        <f>TIMEVALUE(SUBSTITUTE(SUBSTITUTE(_5__DAILY_USAGE_TREND[[#This Row],[TOTAL_DURATION]],"hour",":"),"min",""))</f>
        <v>0.68888888888888888</v>
      </c>
    </row>
    <row r="1010" spans="1:8" x14ac:dyDescent="0.3">
      <c r="A1010" s="1">
        <v>46135</v>
      </c>
      <c r="B1010">
        <v>20</v>
      </c>
      <c r="C1010">
        <v>8</v>
      </c>
      <c r="D1010">
        <v>51</v>
      </c>
      <c r="E1010">
        <v>18596</v>
      </c>
      <c r="F1010">
        <v>20</v>
      </c>
      <c r="G1010" t="s">
        <v>851</v>
      </c>
      <c r="H1010">
        <f>TIMEVALUE(SUBSTITUTE(SUBSTITUTE(_5__DAILY_USAGE_TREND[[#This Row],[TOTAL_DURATION]],"hour",":"),"min",""))</f>
        <v>0.33124999999999982</v>
      </c>
    </row>
    <row r="1011" spans="1:8" x14ac:dyDescent="0.3">
      <c r="A1011" s="1">
        <v>46136</v>
      </c>
      <c r="B1011">
        <v>12</v>
      </c>
      <c r="C1011">
        <v>8</v>
      </c>
      <c r="D1011">
        <v>30</v>
      </c>
      <c r="E1011">
        <v>10406</v>
      </c>
      <c r="F1011">
        <v>13</v>
      </c>
      <c r="G1011" t="s">
        <v>852</v>
      </c>
      <c r="H1011">
        <f>TIMEVALUE(SUBSTITUTE(SUBSTITUTE(_5__DAILY_USAGE_TREND[[#This Row],[TOTAL_DURATION]],"hour",":"),"min",""))</f>
        <v>0.78194444444444455</v>
      </c>
    </row>
    <row r="1012" spans="1:8" x14ac:dyDescent="0.3">
      <c r="A1012" s="1">
        <v>46137</v>
      </c>
      <c r="B1012">
        <v>14</v>
      </c>
      <c r="C1012">
        <v>7</v>
      </c>
      <c r="D1012">
        <v>43</v>
      </c>
      <c r="E1012">
        <v>15670</v>
      </c>
      <c r="F1012">
        <v>14</v>
      </c>
      <c r="G1012" t="s">
        <v>853</v>
      </c>
      <c r="H1012">
        <f>TIMEVALUE(SUBSTITUTE(SUBSTITUTE(_5__DAILY_USAGE_TREND[[#This Row],[TOTAL_DURATION]],"hour",":"),"min",""))</f>
        <v>0.28402777777777777</v>
      </c>
    </row>
    <row r="1013" spans="1:8" x14ac:dyDescent="0.3">
      <c r="A1013" s="1">
        <v>46138</v>
      </c>
      <c r="B1013">
        <v>16</v>
      </c>
      <c r="C1013">
        <v>8</v>
      </c>
      <c r="D1013">
        <v>37</v>
      </c>
      <c r="E1013">
        <v>13029</v>
      </c>
      <c r="F1013">
        <v>16</v>
      </c>
      <c r="G1013" t="s">
        <v>854</v>
      </c>
      <c r="H1013">
        <f>TIMEVALUE(SUBSTITUTE(SUBSTITUTE(_5__DAILY_USAGE_TREND[[#This Row],[TOTAL_DURATION]],"hour",":"),"min",""))</f>
        <v>0.19722222222222219</v>
      </c>
    </row>
    <row r="1014" spans="1:8" x14ac:dyDescent="0.3">
      <c r="A1014" s="1">
        <v>46139</v>
      </c>
      <c r="B1014">
        <v>12</v>
      </c>
      <c r="C1014">
        <v>6</v>
      </c>
      <c r="D1014">
        <v>22</v>
      </c>
      <c r="E1014">
        <v>6445</v>
      </c>
      <c r="F1014">
        <v>12</v>
      </c>
      <c r="G1014" t="s">
        <v>855</v>
      </c>
      <c r="H1014">
        <f>TIMEVALUE(SUBSTITUTE(SUBSTITUTE(_5__DAILY_USAGE_TREND[[#This Row],[TOTAL_DURATION]],"hour",":"),"min",""))</f>
        <v>0.39027777777777772</v>
      </c>
    </row>
    <row r="1015" spans="1:8" x14ac:dyDescent="0.3">
      <c r="A1015" s="1">
        <v>46140</v>
      </c>
      <c r="B1015">
        <v>16</v>
      </c>
      <c r="C1015">
        <v>8</v>
      </c>
      <c r="D1015">
        <v>35</v>
      </c>
      <c r="E1015">
        <v>12717</v>
      </c>
      <c r="F1015">
        <v>16</v>
      </c>
      <c r="G1015" t="s">
        <v>856</v>
      </c>
      <c r="H1015">
        <f>TIMEVALUE(SUBSTITUTE(SUBSTITUTE(_5__DAILY_USAGE_TREND[[#This Row],[TOTAL_DURATION]],"hour",":"),"min",""))</f>
        <v>0.58194444444444438</v>
      </c>
    </row>
    <row r="1016" spans="1:8" x14ac:dyDescent="0.3">
      <c r="A1016" s="1">
        <v>46141</v>
      </c>
      <c r="B1016">
        <v>8</v>
      </c>
      <c r="C1016">
        <v>6</v>
      </c>
      <c r="D1016">
        <v>14</v>
      </c>
      <c r="E1016">
        <v>4188</v>
      </c>
      <c r="F1016">
        <v>8</v>
      </c>
      <c r="G1016" t="s">
        <v>857</v>
      </c>
      <c r="H1016">
        <f>TIMEVALUE(SUBSTITUTE(SUBSTITUTE(_5__DAILY_USAGE_TREND[[#This Row],[TOTAL_DURATION]],"hour",":"),"min",""))</f>
        <v>0.87986111111111109</v>
      </c>
    </row>
    <row r="1017" spans="1:8" x14ac:dyDescent="0.3">
      <c r="A1017" s="1">
        <v>46142</v>
      </c>
      <c r="B1017">
        <v>20</v>
      </c>
      <c r="C1017">
        <v>8</v>
      </c>
      <c r="D1017">
        <v>50</v>
      </c>
      <c r="E1017">
        <v>18832</v>
      </c>
      <c r="F1017">
        <v>20</v>
      </c>
      <c r="G1017" t="s">
        <v>858</v>
      </c>
      <c r="H1017">
        <f>TIMEVALUE(SUBSTITUTE(SUBSTITUTE(_5__DAILY_USAGE_TREND[[#This Row],[TOTAL_DURATION]],"hour",":"),"min",""))</f>
        <v>0.53472222222222232</v>
      </c>
    </row>
    <row r="1018" spans="1:8" x14ac:dyDescent="0.3">
      <c r="A1018" s="1">
        <v>46143</v>
      </c>
      <c r="B1018">
        <v>14</v>
      </c>
      <c r="C1018">
        <v>7</v>
      </c>
      <c r="D1018">
        <v>36</v>
      </c>
      <c r="E1018">
        <v>13023</v>
      </c>
      <c r="F1018">
        <v>14</v>
      </c>
      <c r="G1018" t="s">
        <v>859</v>
      </c>
      <c r="H1018">
        <f>TIMEVALUE(SUBSTITUTE(SUBSTITUTE(_5__DAILY_USAGE_TREND[[#This Row],[TOTAL_DURATION]],"hour",":"),"min",""))</f>
        <v>0.60902777777777795</v>
      </c>
    </row>
    <row r="1019" spans="1:8" x14ac:dyDescent="0.3">
      <c r="A1019" s="1">
        <v>46144</v>
      </c>
      <c r="B1019">
        <v>14</v>
      </c>
      <c r="C1019">
        <v>7</v>
      </c>
      <c r="D1019">
        <v>36</v>
      </c>
      <c r="E1019">
        <v>12630</v>
      </c>
      <c r="F1019">
        <v>14</v>
      </c>
      <c r="G1019" t="s">
        <v>860</v>
      </c>
      <c r="H1019">
        <f>TIMEVALUE(SUBSTITUTE(SUBSTITUTE(_5__DAILY_USAGE_TREND[[#This Row],[TOTAL_DURATION]],"hour",":"),"min",""))</f>
        <v>0.20208333333333339</v>
      </c>
    </row>
    <row r="1020" spans="1:8" x14ac:dyDescent="0.3">
      <c r="A1020" s="1">
        <v>46145</v>
      </c>
      <c r="B1020">
        <v>13</v>
      </c>
      <c r="C1020">
        <v>8</v>
      </c>
      <c r="D1020">
        <v>31</v>
      </c>
      <c r="E1020">
        <v>12140</v>
      </c>
      <c r="F1020">
        <v>13</v>
      </c>
      <c r="G1020" t="s">
        <v>861</v>
      </c>
      <c r="H1020">
        <f>TIMEVALUE(SUBSTITUTE(SUBSTITUTE(_5__DAILY_USAGE_TREND[[#This Row],[TOTAL_DURATION]],"hour",":"),"min",""))</f>
        <v>0.73194444444444451</v>
      </c>
    </row>
    <row r="1021" spans="1:8" x14ac:dyDescent="0.3">
      <c r="A1021" s="1">
        <v>46146</v>
      </c>
      <c r="B1021">
        <v>14</v>
      </c>
      <c r="C1021">
        <v>8</v>
      </c>
      <c r="D1021">
        <v>37</v>
      </c>
      <c r="E1021">
        <v>13643</v>
      </c>
      <c r="F1021">
        <v>14</v>
      </c>
      <c r="G1021" t="s">
        <v>862</v>
      </c>
      <c r="H1021">
        <f>TIMEVALUE(SUBSTITUTE(SUBSTITUTE(_5__DAILY_USAGE_TREND[[#This Row],[TOTAL_DURATION]],"hour",":"),"min",""))</f>
        <v>4.097222222222241E-2</v>
      </c>
    </row>
    <row r="1022" spans="1:8" x14ac:dyDescent="0.3">
      <c r="A1022" s="1">
        <v>46147</v>
      </c>
      <c r="B1022">
        <v>8</v>
      </c>
      <c r="C1022">
        <v>7</v>
      </c>
      <c r="D1022">
        <v>17</v>
      </c>
      <c r="E1022">
        <v>5129</v>
      </c>
      <c r="F1022">
        <v>8</v>
      </c>
      <c r="G1022" t="s">
        <v>446</v>
      </c>
      <c r="H1022">
        <f>TIMEVALUE(SUBSTITUTE(SUBSTITUTE(_5__DAILY_USAGE_TREND[[#This Row],[TOTAL_DURATION]],"hour",":"),"min",""))</f>
        <v>0.62083333333333335</v>
      </c>
    </row>
    <row r="1023" spans="1:8" x14ac:dyDescent="0.3">
      <c r="A1023" s="1">
        <v>46148</v>
      </c>
      <c r="B1023">
        <v>27</v>
      </c>
      <c r="C1023">
        <v>9</v>
      </c>
      <c r="D1023">
        <v>58</v>
      </c>
      <c r="E1023">
        <v>22649</v>
      </c>
      <c r="F1023">
        <v>28</v>
      </c>
      <c r="G1023" t="s">
        <v>863</v>
      </c>
      <c r="H1023">
        <f>TIMEVALUE(SUBSTITUTE(SUBSTITUTE(_5__DAILY_USAGE_TREND[[#This Row],[TOTAL_DURATION]],"hour",":"),"min",""))</f>
        <v>0.47916666666666652</v>
      </c>
    </row>
    <row r="1024" spans="1:8" x14ac:dyDescent="0.3">
      <c r="A1024" s="1">
        <v>46149</v>
      </c>
      <c r="B1024">
        <v>15</v>
      </c>
      <c r="C1024">
        <v>8</v>
      </c>
      <c r="D1024">
        <v>34</v>
      </c>
      <c r="E1024">
        <v>11819</v>
      </c>
      <c r="F1024">
        <v>15</v>
      </c>
      <c r="G1024" t="s">
        <v>864</v>
      </c>
      <c r="H1024">
        <f>TIMEVALUE(SUBSTITUTE(SUBSTITUTE(_5__DAILY_USAGE_TREND[[#This Row],[TOTAL_DURATION]],"hour",":"),"min",""))</f>
        <v>0.62638888888888888</v>
      </c>
    </row>
    <row r="1025" spans="1:8" x14ac:dyDescent="0.3">
      <c r="A1025" s="1">
        <v>46150</v>
      </c>
      <c r="B1025">
        <v>12</v>
      </c>
      <c r="C1025">
        <v>7</v>
      </c>
      <c r="D1025">
        <v>33</v>
      </c>
      <c r="E1025">
        <v>12567</v>
      </c>
      <c r="F1025">
        <v>12</v>
      </c>
      <c r="G1025" t="s">
        <v>865</v>
      </c>
      <c r="H1025">
        <f>TIMEVALUE(SUBSTITUTE(SUBSTITUTE(_5__DAILY_USAGE_TREND[[#This Row],[TOTAL_DURATION]],"hour",":"),"min",""))</f>
        <v>0.34305555555555545</v>
      </c>
    </row>
    <row r="1026" spans="1:8" x14ac:dyDescent="0.3">
      <c r="A1026" s="1">
        <v>46151</v>
      </c>
      <c r="B1026">
        <v>18</v>
      </c>
      <c r="C1026">
        <v>8</v>
      </c>
      <c r="D1026">
        <v>38</v>
      </c>
      <c r="E1026">
        <v>13448</v>
      </c>
      <c r="F1026">
        <v>18</v>
      </c>
      <c r="G1026" t="s">
        <v>866</v>
      </c>
      <c r="H1026">
        <f>TIMEVALUE(SUBSTITUTE(SUBSTITUTE(_5__DAILY_USAGE_TREND[[#This Row],[TOTAL_DURATION]],"hour",":"),"min",""))</f>
        <v>0.27222222222222214</v>
      </c>
    </row>
    <row r="1027" spans="1:8" x14ac:dyDescent="0.3">
      <c r="A1027" s="1">
        <v>46152</v>
      </c>
      <c r="B1027">
        <v>17</v>
      </c>
      <c r="C1027">
        <v>9</v>
      </c>
      <c r="D1027">
        <v>39</v>
      </c>
      <c r="E1027">
        <v>13181</v>
      </c>
      <c r="F1027">
        <v>17</v>
      </c>
      <c r="G1027" t="s">
        <v>867</v>
      </c>
      <c r="H1027">
        <f>TIMEVALUE(SUBSTITUTE(SUBSTITUTE(_5__DAILY_USAGE_TREND[[#This Row],[TOTAL_DURATION]],"hour",":"),"min",""))</f>
        <v>0.63819444444444429</v>
      </c>
    </row>
    <row r="1028" spans="1:8" x14ac:dyDescent="0.3">
      <c r="A1028" s="1">
        <v>46153</v>
      </c>
      <c r="B1028">
        <v>20</v>
      </c>
      <c r="C1028">
        <v>8</v>
      </c>
      <c r="D1028">
        <v>47</v>
      </c>
      <c r="E1028">
        <v>17938</v>
      </c>
      <c r="F1028">
        <v>20</v>
      </c>
      <c r="G1028" t="s">
        <v>868</v>
      </c>
      <c r="H1028">
        <f>TIMEVALUE(SUBSTITUTE(SUBSTITUTE(_5__DAILY_USAGE_TREND[[#This Row],[TOTAL_DURATION]],"hour",":"),"min",""))</f>
        <v>0.54930555555555571</v>
      </c>
    </row>
    <row r="1029" spans="1:8" x14ac:dyDescent="0.3">
      <c r="A1029" s="1">
        <v>46154</v>
      </c>
      <c r="B1029">
        <v>13</v>
      </c>
      <c r="C1029">
        <v>5</v>
      </c>
      <c r="D1029">
        <v>36</v>
      </c>
      <c r="E1029">
        <v>12129</v>
      </c>
      <c r="F1029">
        <v>13</v>
      </c>
      <c r="G1029" t="s">
        <v>869</v>
      </c>
      <c r="H1029">
        <f>TIMEVALUE(SUBSTITUTE(SUBSTITUTE(_5__DAILY_USAGE_TREND[[#This Row],[TOTAL_DURATION]],"hour",":"),"min",""))</f>
        <v>0.42083333333333339</v>
      </c>
    </row>
    <row r="1030" spans="1:8" x14ac:dyDescent="0.3">
      <c r="A1030" s="1">
        <v>46155</v>
      </c>
      <c r="B1030">
        <v>17</v>
      </c>
      <c r="C1030">
        <v>8</v>
      </c>
      <c r="D1030">
        <v>52</v>
      </c>
      <c r="E1030">
        <v>18761</v>
      </c>
      <c r="F1030">
        <v>17</v>
      </c>
      <c r="G1030" t="s">
        <v>870</v>
      </c>
      <c r="H1030">
        <f>TIMEVALUE(SUBSTITUTE(SUBSTITUTE(_5__DAILY_USAGE_TREND[[#This Row],[TOTAL_DURATION]],"hour",":"),"min",""))</f>
        <v>0.45902777777777759</v>
      </c>
    </row>
    <row r="1031" spans="1:8" x14ac:dyDescent="0.3">
      <c r="A1031" s="1">
        <v>46156</v>
      </c>
      <c r="B1031">
        <v>9</v>
      </c>
      <c r="C1031">
        <v>6</v>
      </c>
      <c r="D1031">
        <v>21</v>
      </c>
      <c r="E1031">
        <v>7383</v>
      </c>
      <c r="F1031">
        <v>9</v>
      </c>
      <c r="G1031" t="s">
        <v>871</v>
      </c>
      <c r="H1031">
        <f>TIMEVALUE(SUBSTITUTE(SUBSTITUTE(_5__DAILY_USAGE_TREND[[#This Row],[TOTAL_DURATION]],"hour",":"),"min",""))</f>
        <v>0.40555555555555545</v>
      </c>
    </row>
    <row r="1032" spans="1:8" x14ac:dyDescent="0.3">
      <c r="A1032" s="1">
        <v>46157</v>
      </c>
      <c r="B1032">
        <v>17</v>
      </c>
      <c r="C1032">
        <v>8</v>
      </c>
      <c r="D1032">
        <v>38</v>
      </c>
      <c r="E1032">
        <v>15232</v>
      </c>
      <c r="F1032">
        <v>17</v>
      </c>
      <c r="G1032" t="s">
        <v>872</v>
      </c>
      <c r="H1032">
        <f>TIMEVALUE(SUBSTITUTE(SUBSTITUTE(_5__DAILY_USAGE_TREND[[#This Row],[TOTAL_DURATION]],"hour",":"),"min",""))</f>
        <v>0.81180555555555545</v>
      </c>
    </row>
    <row r="1033" spans="1:8" x14ac:dyDescent="0.3">
      <c r="A1033" s="1">
        <v>46158</v>
      </c>
      <c r="B1033">
        <v>15</v>
      </c>
      <c r="C1033">
        <v>9</v>
      </c>
      <c r="D1033">
        <v>38</v>
      </c>
      <c r="E1033">
        <v>13205</v>
      </c>
      <c r="F1033">
        <v>15</v>
      </c>
      <c r="G1033" t="s">
        <v>213</v>
      </c>
      <c r="H1033">
        <f>TIMEVALUE(SUBSTITUTE(SUBSTITUTE(_5__DAILY_USAGE_TREND[[#This Row],[TOTAL_DURATION]],"hour",":"),"min",""))</f>
        <v>9.0972222222222232E-2</v>
      </c>
    </row>
    <row r="1034" spans="1:8" x14ac:dyDescent="0.3">
      <c r="A1034" s="1">
        <v>46159</v>
      </c>
      <c r="B1034">
        <v>13</v>
      </c>
      <c r="C1034">
        <v>6</v>
      </c>
      <c r="D1034">
        <v>30</v>
      </c>
      <c r="E1034">
        <v>10435</v>
      </c>
      <c r="F1034">
        <v>13</v>
      </c>
      <c r="G1034" t="s">
        <v>873</v>
      </c>
      <c r="H1034">
        <f>TIMEVALUE(SUBSTITUTE(SUBSTITUTE(_5__DAILY_USAGE_TREND[[#This Row],[TOTAL_DURATION]],"hour",":"),"min",""))</f>
        <v>0.40833333333333344</v>
      </c>
    </row>
    <row r="1035" spans="1:8" x14ac:dyDescent="0.3">
      <c r="A1035" s="1">
        <v>46160</v>
      </c>
      <c r="B1035">
        <v>14</v>
      </c>
      <c r="C1035">
        <v>8</v>
      </c>
      <c r="D1035">
        <v>36</v>
      </c>
      <c r="E1035">
        <v>15308</v>
      </c>
      <c r="F1035">
        <v>14</v>
      </c>
      <c r="G1035" t="s">
        <v>874</v>
      </c>
      <c r="H1035">
        <f>TIMEVALUE(SUBSTITUTE(SUBSTITUTE(_5__DAILY_USAGE_TREND[[#This Row],[TOTAL_DURATION]],"hour",":"),"min",""))</f>
        <v>1.6666666666666607E-2</v>
      </c>
    </row>
    <row r="1036" spans="1:8" x14ac:dyDescent="0.3">
      <c r="A1036" s="1">
        <v>46161</v>
      </c>
      <c r="B1036">
        <v>18</v>
      </c>
      <c r="C1036">
        <v>8</v>
      </c>
      <c r="D1036">
        <v>39</v>
      </c>
      <c r="E1036">
        <v>13875</v>
      </c>
      <c r="F1036">
        <v>18</v>
      </c>
      <c r="G1036" t="s">
        <v>875</v>
      </c>
      <c r="H1036">
        <f>TIMEVALUE(SUBSTITUTE(SUBSTITUTE(_5__DAILY_USAGE_TREND[[#This Row],[TOTAL_DURATION]],"hour",":"),"min",""))</f>
        <v>0.97638888888888875</v>
      </c>
    </row>
    <row r="1037" spans="1:8" x14ac:dyDescent="0.3">
      <c r="A1037" s="1">
        <v>46162</v>
      </c>
      <c r="B1037">
        <v>16</v>
      </c>
      <c r="C1037">
        <v>8</v>
      </c>
      <c r="D1037">
        <v>30</v>
      </c>
      <c r="E1037">
        <v>10541</v>
      </c>
      <c r="F1037">
        <v>16</v>
      </c>
      <c r="G1037" t="s">
        <v>876</v>
      </c>
      <c r="H1037">
        <f>TIMEVALUE(SUBSTITUTE(SUBSTITUTE(_5__DAILY_USAGE_TREND[[#This Row],[TOTAL_DURATION]],"hour",":"),"min",""))</f>
        <v>0.47361111111111098</v>
      </c>
    </row>
    <row r="1038" spans="1:8" x14ac:dyDescent="0.3">
      <c r="A1038" s="1">
        <v>46163</v>
      </c>
      <c r="B1038">
        <v>12</v>
      </c>
      <c r="C1038">
        <v>8</v>
      </c>
      <c r="D1038">
        <v>32</v>
      </c>
      <c r="E1038">
        <v>11869</v>
      </c>
      <c r="F1038">
        <v>12</v>
      </c>
      <c r="G1038" t="s">
        <v>877</v>
      </c>
      <c r="H1038">
        <f>TIMEVALUE(SUBSTITUTE(SUBSTITUTE(_5__DAILY_USAGE_TREND[[#This Row],[TOTAL_DURATION]],"hour",":"),"min",""))</f>
        <v>0.80277777777777781</v>
      </c>
    </row>
    <row r="1039" spans="1:8" x14ac:dyDescent="0.3">
      <c r="A1039" s="1">
        <v>46164</v>
      </c>
      <c r="B1039">
        <v>19</v>
      </c>
      <c r="C1039">
        <v>9</v>
      </c>
      <c r="D1039">
        <v>49</v>
      </c>
      <c r="E1039">
        <v>17353</v>
      </c>
      <c r="F1039">
        <v>19</v>
      </c>
      <c r="G1039" t="s">
        <v>878</v>
      </c>
      <c r="H1039">
        <f>TIMEVALUE(SUBSTITUTE(SUBSTITUTE(_5__DAILY_USAGE_TREND[[#This Row],[TOTAL_DURATION]],"hour",":"),"min",""))</f>
        <v>0.39583333333333304</v>
      </c>
    </row>
    <row r="1040" spans="1:8" x14ac:dyDescent="0.3">
      <c r="A1040" s="1">
        <v>46165</v>
      </c>
      <c r="B1040">
        <v>11</v>
      </c>
      <c r="C1040">
        <v>6</v>
      </c>
      <c r="D1040">
        <v>24</v>
      </c>
      <c r="E1040">
        <v>6484</v>
      </c>
      <c r="F1040">
        <v>11</v>
      </c>
      <c r="G1040" t="s">
        <v>879</v>
      </c>
      <c r="H1040">
        <f>TIMEVALUE(SUBSTITUTE(SUBSTITUTE(_5__DAILY_USAGE_TREND[[#This Row],[TOTAL_DURATION]],"hour",":"),"min",""))</f>
        <v>0.50555555555555554</v>
      </c>
    </row>
    <row r="1041" spans="1:8" x14ac:dyDescent="0.3">
      <c r="A1041" s="1">
        <v>46166</v>
      </c>
      <c r="B1041">
        <v>20</v>
      </c>
      <c r="C1041">
        <v>8</v>
      </c>
      <c r="D1041">
        <v>42</v>
      </c>
      <c r="E1041">
        <v>14567</v>
      </c>
      <c r="F1041">
        <v>20</v>
      </c>
      <c r="G1041" t="s">
        <v>880</v>
      </c>
      <c r="H1041">
        <f>TIMEVALUE(SUBSTITUTE(SUBSTITUTE(_5__DAILY_USAGE_TREND[[#This Row],[TOTAL_DURATION]],"hour",":"),"min",""))</f>
        <v>0.4458333333333333</v>
      </c>
    </row>
    <row r="1042" spans="1:8" x14ac:dyDescent="0.3">
      <c r="A1042" s="1">
        <v>46167</v>
      </c>
      <c r="B1042">
        <v>24</v>
      </c>
      <c r="C1042">
        <v>10</v>
      </c>
      <c r="D1042">
        <v>56</v>
      </c>
      <c r="E1042">
        <v>23479</v>
      </c>
      <c r="F1042">
        <v>25</v>
      </c>
      <c r="G1042" t="s">
        <v>881</v>
      </c>
      <c r="H1042">
        <f>TIMEVALUE(SUBSTITUTE(SUBSTITUTE(_5__DAILY_USAGE_TREND[[#This Row],[TOTAL_DURATION]],"hour",":"),"min",""))</f>
        <v>0.16527777777777786</v>
      </c>
    </row>
    <row r="1043" spans="1:8" x14ac:dyDescent="0.3">
      <c r="A1043" s="1">
        <v>46168</v>
      </c>
      <c r="B1043">
        <v>20</v>
      </c>
      <c r="C1043">
        <v>6</v>
      </c>
      <c r="D1043">
        <v>49</v>
      </c>
      <c r="E1043">
        <v>17552</v>
      </c>
      <c r="F1043">
        <v>20</v>
      </c>
      <c r="G1043" t="s">
        <v>882</v>
      </c>
      <c r="H1043">
        <f>TIMEVALUE(SUBSTITUTE(SUBSTITUTE(_5__DAILY_USAGE_TREND[[#This Row],[TOTAL_DURATION]],"hour",":"),"min",""))</f>
        <v>0.77847222222222223</v>
      </c>
    </row>
    <row r="1044" spans="1:8" x14ac:dyDescent="0.3">
      <c r="A1044" s="1">
        <v>46169</v>
      </c>
      <c r="B1044">
        <v>22</v>
      </c>
      <c r="C1044">
        <v>8</v>
      </c>
      <c r="D1044">
        <v>55</v>
      </c>
      <c r="E1044">
        <v>20816</v>
      </c>
      <c r="F1044">
        <v>22</v>
      </c>
      <c r="G1044" t="s">
        <v>883</v>
      </c>
      <c r="H1044">
        <f>TIMEVALUE(SUBSTITUTE(SUBSTITUTE(_5__DAILY_USAGE_TREND[[#This Row],[TOTAL_DURATION]],"hour",":"),"min",""))</f>
        <v>0.99236111111111103</v>
      </c>
    </row>
    <row r="1045" spans="1:8" x14ac:dyDescent="0.3">
      <c r="A1045" s="1">
        <v>46170</v>
      </c>
      <c r="B1045">
        <v>19</v>
      </c>
      <c r="C1045">
        <v>7</v>
      </c>
      <c r="D1045">
        <v>34</v>
      </c>
      <c r="E1045">
        <v>11994</v>
      </c>
      <c r="F1045">
        <v>19</v>
      </c>
      <c r="G1045" t="s">
        <v>884</v>
      </c>
      <c r="H1045">
        <f>TIMEVALUE(SUBSTITUTE(SUBSTITUTE(_5__DAILY_USAGE_TREND[[#This Row],[TOTAL_DURATION]],"hour",":"),"min",""))</f>
        <v>0.74305555555555558</v>
      </c>
    </row>
    <row r="1046" spans="1:8" x14ac:dyDescent="0.3">
      <c r="A1046" s="1">
        <v>46171</v>
      </c>
      <c r="B1046">
        <v>20</v>
      </c>
      <c r="C1046">
        <v>9</v>
      </c>
      <c r="D1046">
        <v>45</v>
      </c>
      <c r="E1046">
        <v>16081</v>
      </c>
      <c r="F1046">
        <v>20</v>
      </c>
      <c r="G1046" t="s">
        <v>885</v>
      </c>
      <c r="H1046">
        <f>TIMEVALUE(SUBSTITUTE(SUBSTITUTE(_5__DAILY_USAGE_TREND[[#This Row],[TOTAL_DURATION]],"hour",":"),"min",""))</f>
        <v>0.86875000000000036</v>
      </c>
    </row>
    <row r="1047" spans="1:8" x14ac:dyDescent="0.3">
      <c r="A1047" s="1">
        <v>46172</v>
      </c>
      <c r="B1047">
        <v>18</v>
      </c>
      <c r="C1047">
        <v>9</v>
      </c>
      <c r="D1047">
        <v>46</v>
      </c>
      <c r="E1047">
        <v>17383</v>
      </c>
      <c r="F1047">
        <v>18</v>
      </c>
      <c r="G1047" t="s">
        <v>886</v>
      </c>
      <c r="H1047">
        <f>TIMEVALUE(SUBSTITUTE(SUBSTITUTE(_5__DAILY_USAGE_TREND[[#This Row],[TOTAL_DURATION]],"hour",":"),"min",""))</f>
        <v>0.15625</v>
      </c>
    </row>
    <row r="1048" spans="1:8" x14ac:dyDescent="0.3">
      <c r="A1048" s="1">
        <v>46173</v>
      </c>
      <c r="B1048">
        <v>15</v>
      </c>
      <c r="C1048">
        <v>9</v>
      </c>
      <c r="D1048">
        <v>39</v>
      </c>
      <c r="E1048">
        <v>13363</v>
      </c>
      <c r="F1048">
        <v>15</v>
      </c>
      <c r="G1048" t="s">
        <v>887</v>
      </c>
      <c r="H1048">
        <f>TIMEVALUE(SUBSTITUTE(SUBSTITUTE(_5__DAILY_USAGE_TREND[[#This Row],[TOTAL_DURATION]],"hour",":"),"min",""))</f>
        <v>0.51041666666666652</v>
      </c>
    </row>
    <row r="1049" spans="1:8" x14ac:dyDescent="0.3">
      <c r="A1049" s="1">
        <v>46174</v>
      </c>
      <c r="B1049">
        <v>20</v>
      </c>
      <c r="C1049">
        <v>8</v>
      </c>
      <c r="D1049">
        <v>46</v>
      </c>
      <c r="E1049">
        <v>15983</v>
      </c>
      <c r="F1049">
        <v>20</v>
      </c>
      <c r="G1049" t="s">
        <v>888</v>
      </c>
      <c r="H1049">
        <f>TIMEVALUE(SUBSTITUTE(SUBSTITUTE(_5__DAILY_USAGE_TREND[[#This Row],[TOTAL_DURATION]],"hour",":"),"min",""))</f>
        <v>0.24305555555555536</v>
      </c>
    </row>
    <row r="1050" spans="1:8" x14ac:dyDescent="0.3">
      <c r="A1050" s="1">
        <v>46175</v>
      </c>
      <c r="B1050">
        <v>17</v>
      </c>
      <c r="C1050">
        <v>8</v>
      </c>
      <c r="D1050">
        <v>44</v>
      </c>
      <c r="E1050">
        <v>12421</v>
      </c>
      <c r="F1050">
        <v>17</v>
      </c>
      <c r="G1050" t="s">
        <v>889</v>
      </c>
      <c r="H1050">
        <f>TIMEVALUE(SUBSTITUTE(SUBSTITUTE(_5__DAILY_USAGE_TREND[[#This Row],[TOTAL_DURATION]],"hour",":"),"min",""))</f>
        <v>0.51388888888888884</v>
      </c>
    </row>
    <row r="1051" spans="1:8" x14ac:dyDescent="0.3">
      <c r="A1051" s="1">
        <v>46176</v>
      </c>
      <c r="B1051">
        <v>16</v>
      </c>
      <c r="C1051">
        <v>9</v>
      </c>
      <c r="D1051">
        <v>38</v>
      </c>
      <c r="E1051">
        <v>11765</v>
      </c>
      <c r="F1051">
        <v>16</v>
      </c>
      <c r="G1051" t="s">
        <v>890</v>
      </c>
      <c r="H1051">
        <f>TIMEVALUE(SUBSTITUTE(SUBSTITUTE(_5__DAILY_USAGE_TREND[[#This Row],[TOTAL_DURATION]],"hour",":"),"min",""))</f>
        <v>0.44236111111111098</v>
      </c>
    </row>
    <row r="1052" spans="1:8" x14ac:dyDescent="0.3">
      <c r="A1052" s="1">
        <v>46177</v>
      </c>
      <c r="B1052">
        <v>17</v>
      </c>
      <c r="C1052">
        <v>9</v>
      </c>
      <c r="D1052">
        <v>35</v>
      </c>
      <c r="E1052">
        <v>11997</v>
      </c>
      <c r="F1052">
        <v>18</v>
      </c>
      <c r="G1052" t="s">
        <v>891</v>
      </c>
      <c r="H1052">
        <f>TIMEVALUE(SUBSTITUTE(SUBSTITUTE(_5__DAILY_USAGE_TREND[[#This Row],[TOTAL_DURATION]],"hour",":"),"min",""))</f>
        <v>0.83194444444444438</v>
      </c>
    </row>
    <row r="1053" spans="1:8" x14ac:dyDescent="0.3">
      <c r="A1053" s="1">
        <v>46178</v>
      </c>
      <c r="B1053">
        <v>24</v>
      </c>
      <c r="C1053">
        <v>9</v>
      </c>
      <c r="D1053">
        <v>63</v>
      </c>
      <c r="E1053">
        <v>22325</v>
      </c>
      <c r="F1053">
        <v>24</v>
      </c>
      <c r="G1053" t="s">
        <v>892</v>
      </c>
      <c r="H1053">
        <f>TIMEVALUE(SUBSTITUTE(SUBSTITUTE(_5__DAILY_USAGE_TREND[[#This Row],[TOTAL_DURATION]],"hour",":"),"min",""))</f>
        <v>0.94583333333333375</v>
      </c>
    </row>
    <row r="1054" spans="1:8" x14ac:dyDescent="0.3">
      <c r="A1054" s="1">
        <v>46179</v>
      </c>
      <c r="B1054">
        <v>12</v>
      </c>
      <c r="C1054">
        <v>5</v>
      </c>
      <c r="D1054">
        <v>22</v>
      </c>
      <c r="E1054">
        <v>7535</v>
      </c>
      <c r="F1054">
        <v>12</v>
      </c>
      <c r="G1054" t="s">
        <v>893</v>
      </c>
      <c r="H1054">
        <f>TIMEVALUE(SUBSTITUTE(SUBSTITUTE(_5__DAILY_USAGE_TREND[[#This Row],[TOTAL_DURATION]],"hour",":"),"min",""))</f>
        <v>0.2583333333333333</v>
      </c>
    </row>
    <row r="1055" spans="1:8" x14ac:dyDescent="0.3">
      <c r="A1055" s="1">
        <v>46180</v>
      </c>
      <c r="B1055">
        <v>24</v>
      </c>
      <c r="C1055">
        <v>10</v>
      </c>
      <c r="D1055">
        <v>53</v>
      </c>
      <c r="E1055">
        <v>21450</v>
      </c>
      <c r="F1055">
        <v>25</v>
      </c>
      <c r="G1055" t="s">
        <v>894</v>
      </c>
      <c r="H1055">
        <f>TIMEVALUE(SUBSTITUTE(SUBSTITUTE(_5__DAILY_USAGE_TREND[[#This Row],[TOTAL_DURATION]],"hour",":"),"min",""))</f>
        <v>0.72986111111111107</v>
      </c>
    </row>
    <row r="1056" spans="1:8" x14ac:dyDescent="0.3">
      <c r="A1056" s="1">
        <v>46181</v>
      </c>
      <c r="B1056">
        <v>16</v>
      </c>
      <c r="C1056">
        <v>9</v>
      </c>
      <c r="D1056">
        <v>39</v>
      </c>
      <c r="E1056">
        <v>12102</v>
      </c>
      <c r="F1056">
        <v>16</v>
      </c>
      <c r="G1056" t="s">
        <v>895</v>
      </c>
      <c r="H1056">
        <f>TIMEVALUE(SUBSTITUTE(SUBSTITUTE(_5__DAILY_USAGE_TREND[[#This Row],[TOTAL_DURATION]],"hour",":"),"min",""))</f>
        <v>0.36458333333333348</v>
      </c>
    </row>
    <row r="1057" spans="1:8" x14ac:dyDescent="0.3">
      <c r="A1057" s="1">
        <v>46182</v>
      </c>
      <c r="B1057">
        <v>25</v>
      </c>
      <c r="C1057">
        <v>10</v>
      </c>
      <c r="D1057">
        <v>60</v>
      </c>
      <c r="E1057">
        <v>20213</v>
      </c>
      <c r="F1057">
        <v>25</v>
      </c>
      <c r="G1057" t="s">
        <v>896</v>
      </c>
      <c r="H1057">
        <f>TIMEVALUE(SUBSTITUTE(SUBSTITUTE(_5__DAILY_USAGE_TREND[[#This Row],[TOTAL_DURATION]],"hour",":"),"min",""))</f>
        <v>0.31666666666666687</v>
      </c>
    </row>
    <row r="1058" spans="1:8" x14ac:dyDescent="0.3">
      <c r="A1058" s="1">
        <v>46183</v>
      </c>
      <c r="B1058">
        <v>20</v>
      </c>
      <c r="C1058">
        <v>9</v>
      </c>
      <c r="D1058">
        <v>48</v>
      </c>
      <c r="E1058">
        <v>16241</v>
      </c>
      <c r="F1058">
        <v>20</v>
      </c>
      <c r="G1058" t="s">
        <v>897</v>
      </c>
      <c r="H1058">
        <f>TIMEVALUE(SUBSTITUTE(SUBSTITUTE(_5__DAILY_USAGE_TREND[[#This Row],[TOTAL_DURATION]],"hour",":"),"min",""))</f>
        <v>0.26805555555555571</v>
      </c>
    </row>
    <row r="1059" spans="1:8" x14ac:dyDescent="0.3">
      <c r="A1059" s="1">
        <v>46184</v>
      </c>
      <c r="B1059">
        <v>13</v>
      </c>
      <c r="C1059">
        <v>9</v>
      </c>
      <c r="D1059">
        <v>39</v>
      </c>
      <c r="E1059">
        <v>15802</v>
      </c>
      <c r="F1059">
        <v>14</v>
      </c>
      <c r="G1059" t="s">
        <v>898</v>
      </c>
      <c r="H1059">
        <f>TIMEVALUE(SUBSTITUTE(SUBSTITUTE(_5__DAILY_USAGE_TREND[[#This Row],[TOTAL_DURATION]],"hour",":"),"min",""))</f>
        <v>0.63819444444444429</v>
      </c>
    </row>
    <row r="1060" spans="1:8" x14ac:dyDescent="0.3">
      <c r="A1060" s="1">
        <v>46185</v>
      </c>
      <c r="B1060">
        <v>20</v>
      </c>
      <c r="C1060">
        <v>9</v>
      </c>
      <c r="D1060">
        <v>39</v>
      </c>
      <c r="E1060">
        <v>13649</v>
      </c>
      <c r="F1060">
        <v>20</v>
      </c>
      <c r="G1060" t="s">
        <v>899</v>
      </c>
      <c r="H1060">
        <f>TIMEVALUE(SUBSTITUTE(SUBSTITUTE(_5__DAILY_USAGE_TREND[[#This Row],[TOTAL_DURATION]],"hour",":"),"min",""))</f>
        <v>0.48541666666666661</v>
      </c>
    </row>
    <row r="1061" spans="1:8" x14ac:dyDescent="0.3">
      <c r="A1061" s="1">
        <v>46186</v>
      </c>
      <c r="B1061">
        <v>18</v>
      </c>
      <c r="C1061">
        <v>8</v>
      </c>
      <c r="D1061">
        <v>44</v>
      </c>
      <c r="E1061">
        <v>17038</v>
      </c>
      <c r="F1061">
        <v>18</v>
      </c>
      <c r="G1061" t="s">
        <v>900</v>
      </c>
      <c r="H1061">
        <f>TIMEVALUE(SUBSTITUTE(SUBSTITUTE(_5__DAILY_USAGE_TREND[[#This Row],[TOTAL_DURATION]],"hour",":"),"min",""))</f>
        <v>0.97152777777777777</v>
      </c>
    </row>
    <row r="1062" spans="1:8" x14ac:dyDescent="0.3">
      <c r="A1062" s="1">
        <v>46187</v>
      </c>
      <c r="B1062">
        <v>27</v>
      </c>
      <c r="C1062">
        <v>8</v>
      </c>
      <c r="D1062">
        <v>60</v>
      </c>
      <c r="E1062">
        <v>20457</v>
      </c>
      <c r="F1062">
        <v>28</v>
      </c>
      <c r="G1062" t="s">
        <v>901</v>
      </c>
      <c r="H1062">
        <f>TIMEVALUE(SUBSTITUTE(SUBSTITUTE(_5__DAILY_USAGE_TREND[[#This Row],[TOTAL_DURATION]],"hour",":"),"min",""))</f>
        <v>0.51388888888888884</v>
      </c>
    </row>
    <row r="1063" spans="1:8" x14ac:dyDescent="0.3">
      <c r="A1063" s="1">
        <v>46188</v>
      </c>
      <c r="B1063">
        <v>22</v>
      </c>
      <c r="C1063">
        <v>9</v>
      </c>
      <c r="D1063">
        <v>46</v>
      </c>
      <c r="E1063">
        <v>17551</v>
      </c>
      <c r="F1063">
        <v>23</v>
      </c>
      <c r="G1063" t="s">
        <v>902</v>
      </c>
      <c r="H1063">
        <f>TIMEVALUE(SUBSTITUTE(SUBSTITUTE(_5__DAILY_USAGE_TREND[[#This Row],[TOTAL_DURATION]],"hour",":"),"min",""))</f>
        <v>0.62916666666666687</v>
      </c>
    </row>
    <row r="1064" spans="1:8" x14ac:dyDescent="0.3">
      <c r="A1064" s="1">
        <v>46189</v>
      </c>
      <c r="B1064">
        <v>32</v>
      </c>
      <c r="C1064">
        <v>9</v>
      </c>
      <c r="D1064">
        <v>85</v>
      </c>
      <c r="E1064">
        <v>31325</v>
      </c>
      <c r="F1064">
        <v>32</v>
      </c>
      <c r="G1064" t="s">
        <v>903</v>
      </c>
      <c r="H1064">
        <f>TIMEVALUE(SUBSTITUTE(SUBSTITUTE(_5__DAILY_USAGE_TREND[[#This Row],[TOTAL_DURATION]],"hour",":"),"min",""))</f>
        <v>7.7777777777777501E-2</v>
      </c>
    </row>
    <row r="1065" spans="1:8" x14ac:dyDescent="0.3">
      <c r="A1065" s="1">
        <v>46190</v>
      </c>
      <c r="B1065">
        <v>21</v>
      </c>
      <c r="C1065">
        <v>9</v>
      </c>
      <c r="D1065">
        <v>50</v>
      </c>
      <c r="E1065">
        <v>17677</v>
      </c>
      <c r="F1065">
        <v>22</v>
      </c>
      <c r="G1065" t="s">
        <v>904</v>
      </c>
      <c r="H1065">
        <f>TIMEVALUE(SUBSTITUTE(SUBSTITUTE(_5__DAILY_USAGE_TREND[[#This Row],[TOTAL_DURATION]],"hour",":"),"min",""))</f>
        <v>8.2638888888888928E-2</v>
      </c>
    </row>
    <row r="1066" spans="1:8" x14ac:dyDescent="0.3">
      <c r="A1066" s="1">
        <v>46191</v>
      </c>
      <c r="B1066">
        <v>16</v>
      </c>
      <c r="C1066">
        <v>8</v>
      </c>
      <c r="D1066">
        <v>40</v>
      </c>
      <c r="E1066">
        <v>14999</v>
      </c>
      <c r="F1066">
        <v>18</v>
      </c>
      <c r="G1066" t="s">
        <v>282</v>
      </c>
      <c r="H1066">
        <f>TIMEVALUE(SUBSTITUTE(SUBSTITUTE(_5__DAILY_USAGE_TREND[[#This Row],[TOTAL_DURATION]],"hour",":"),"min",""))</f>
        <v>0.74722222222222223</v>
      </c>
    </row>
    <row r="1067" spans="1:8" x14ac:dyDescent="0.3">
      <c r="A1067" s="1">
        <v>46192</v>
      </c>
      <c r="B1067">
        <v>22</v>
      </c>
      <c r="C1067">
        <v>10</v>
      </c>
      <c r="D1067">
        <v>43</v>
      </c>
      <c r="E1067">
        <v>16136</v>
      </c>
      <c r="F1067">
        <v>22</v>
      </c>
      <c r="G1067" t="s">
        <v>905</v>
      </c>
      <c r="H1067">
        <f>TIMEVALUE(SUBSTITUTE(SUBSTITUTE(_5__DAILY_USAGE_TREND[[#This Row],[TOTAL_DURATION]],"hour",":"),"min",""))</f>
        <v>0.15138888888888902</v>
      </c>
    </row>
    <row r="1068" spans="1:8" x14ac:dyDescent="0.3">
      <c r="A1068" s="1">
        <v>46193</v>
      </c>
      <c r="B1068">
        <v>22</v>
      </c>
      <c r="C1068">
        <v>8</v>
      </c>
      <c r="D1068">
        <v>55</v>
      </c>
      <c r="E1068">
        <v>17411</v>
      </c>
      <c r="F1068">
        <v>23</v>
      </c>
      <c r="G1068" t="s">
        <v>906</v>
      </c>
      <c r="H1068">
        <f>TIMEVALUE(SUBSTITUTE(SUBSTITUTE(_5__DAILY_USAGE_TREND[[#This Row],[TOTAL_DURATION]],"hour",":"),"min",""))</f>
        <v>0.57847222222222205</v>
      </c>
    </row>
    <row r="1069" spans="1:8" x14ac:dyDescent="0.3">
      <c r="A1069" s="1">
        <v>46194</v>
      </c>
      <c r="B1069">
        <v>22</v>
      </c>
      <c r="C1069">
        <v>9</v>
      </c>
      <c r="D1069">
        <v>42</v>
      </c>
      <c r="E1069">
        <v>15678</v>
      </c>
      <c r="F1069">
        <v>22</v>
      </c>
      <c r="G1069" t="s">
        <v>907</v>
      </c>
      <c r="H1069">
        <f>TIMEVALUE(SUBSTITUTE(SUBSTITUTE(_5__DAILY_USAGE_TREND[[#This Row],[TOTAL_DURATION]],"hour",":"),"min",""))</f>
        <v>0.3354166666666667</v>
      </c>
    </row>
    <row r="1070" spans="1:8" x14ac:dyDescent="0.3">
      <c r="A1070" s="1">
        <v>46195</v>
      </c>
      <c r="B1070">
        <v>22</v>
      </c>
      <c r="C1070">
        <v>9</v>
      </c>
      <c r="D1070">
        <v>56</v>
      </c>
      <c r="E1070">
        <v>24332</v>
      </c>
      <c r="F1070">
        <v>23</v>
      </c>
      <c r="G1070" t="s">
        <v>908</v>
      </c>
      <c r="H1070">
        <f>TIMEVALUE(SUBSTITUTE(SUBSTITUTE(_5__DAILY_USAGE_TREND[[#This Row],[TOTAL_DURATION]],"hour",":"),"min",""))</f>
        <v>0.3666666666666667</v>
      </c>
    </row>
    <row r="1071" spans="1:8" x14ac:dyDescent="0.3">
      <c r="A1071" s="1">
        <v>46196</v>
      </c>
      <c r="B1071">
        <v>22</v>
      </c>
      <c r="C1071">
        <v>10</v>
      </c>
      <c r="D1071">
        <v>54</v>
      </c>
      <c r="E1071">
        <v>20732</v>
      </c>
      <c r="F1071">
        <v>22</v>
      </c>
      <c r="G1071" t="s">
        <v>909</v>
      </c>
      <c r="H1071">
        <f>TIMEVALUE(SUBSTITUTE(SUBSTITUTE(_5__DAILY_USAGE_TREND[[#This Row],[TOTAL_DURATION]],"hour",":"),"min",""))</f>
        <v>0.16319444444444464</v>
      </c>
    </row>
    <row r="1072" spans="1:8" x14ac:dyDescent="0.3">
      <c r="A1072" s="1">
        <v>46197</v>
      </c>
      <c r="B1072">
        <v>25</v>
      </c>
      <c r="C1072">
        <v>9</v>
      </c>
      <c r="D1072">
        <v>63</v>
      </c>
      <c r="E1072">
        <v>23266</v>
      </c>
      <c r="F1072">
        <v>26</v>
      </c>
      <c r="G1072" t="s">
        <v>556</v>
      </c>
      <c r="H1072">
        <f>TIMEVALUE(SUBSTITUTE(SUBSTITUTE(_5__DAILY_USAGE_TREND[[#This Row],[TOTAL_DURATION]],"hour",":"),"min",""))</f>
        <v>0.18333333333333313</v>
      </c>
    </row>
    <row r="1073" spans="1:8" x14ac:dyDescent="0.3">
      <c r="A1073" s="1">
        <v>46198</v>
      </c>
      <c r="B1073">
        <v>24</v>
      </c>
      <c r="C1073">
        <v>9</v>
      </c>
      <c r="D1073">
        <v>53</v>
      </c>
      <c r="E1073">
        <v>19953</v>
      </c>
      <c r="F1073">
        <v>25</v>
      </c>
      <c r="G1073" t="s">
        <v>910</v>
      </c>
      <c r="H1073">
        <f>TIMEVALUE(SUBSTITUTE(SUBSTITUTE(_5__DAILY_USAGE_TREND[[#This Row],[TOTAL_DURATION]],"hour",":"),"min",""))</f>
        <v>0.46249999999999991</v>
      </c>
    </row>
    <row r="1074" spans="1:8" x14ac:dyDescent="0.3">
      <c r="A1074" s="1">
        <v>46199</v>
      </c>
      <c r="B1074">
        <v>20</v>
      </c>
      <c r="C1074">
        <v>10</v>
      </c>
      <c r="D1074">
        <v>50</v>
      </c>
      <c r="E1074">
        <v>18087</v>
      </c>
      <c r="F1074">
        <v>20</v>
      </c>
      <c r="G1074" t="s">
        <v>911</v>
      </c>
      <c r="H1074">
        <f>TIMEVALUE(SUBSTITUTE(SUBSTITUTE(_5__DAILY_USAGE_TREND[[#This Row],[TOTAL_DURATION]],"hour",":"),"min",""))</f>
        <v>0.21805555555555545</v>
      </c>
    </row>
    <row r="1075" spans="1:8" x14ac:dyDescent="0.3">
      <c r="A1075" s="1">
        <v>46200</v>
      </c>
      <c r="B1075">
        <v>34</v>
      </c>
      <c r="C1075">
        <v>10</v>
      </c>
      <c r="D1075">
        <v>92</v>
      </c>
      <c r="E1075">
        <v>31823</v>
      </c>
      <c r="F1075">
        <v>35</v>
      </c>
      <c r="G1075" t="s">
        <v>912</v>
      </c>
      <c r="H1075">
        <f>TIMEVALUE(SUBSTITUTE(SUBSTITUTE(_5__DAILY_USAGE_TREND[[#This Row],[TOTAL_DURATION]],"hour",":"),"min",""))</f>
        <v>3.4027777777777768E-2</v>
      </c>
    </row>
    <row r="1076" spans="1:8" x14ac:dyDescent="0.3">
      <c r="A1076" s="1">
        <v>46201</v>
      </c>
      <c r="B1076">
        <v>30</v>
      </c>
      <c r="C1076">
        <v>8</v>
      </c>
      <c r="D1076">
        <v>70</v>
      </c>
      <c r="E1076">
        <v>23673</v>
      </c>
      <c r="F1076">
        <v>31</v>
      </c>
      <c r="G1076" t="s">
        <v>913</v>
      </c>
      <c r="H1076">
        <f>TIMEVALUE(SUBSTITUTE(SUBSTITUTE(_5__DAILY_USAGE_TREND[[#This Row],[TOTAL_DURATION]],"hour",":"),"min",""))</f>
        <v>0.48055555555555562</v>
      </c>
    </row>
    <row r="1077" spans="1:8" x14ac:dyDescent="0.3">
      <c r="A1077" s="1">
        <v>46202</v>
      </c>
      <c r="B1077">
        <v>24</v>
      </c>
      <c r="C1077">
        <v>10</v>
      </c>
      <c r="D1077">
        <v>58</v>
      </c>
      <c r="E1077">
        <v>19820</v>
      </c>
      <c r="F1077">
        <v>24</v>
      </c>
      <c r="G1077" t="s">
        <v>914</v>
      </c>
      <c r="H1077">
        <f>TIMEVALUE(SUBSTITUTE(SUBSTITUTE(_5__DAILY_USAGE_TREND[[#This Row],[TOTAL_DURATION]],"hour",":"),"min",""))</f>
        <v>0.54097222222222241</v>
      </c>
    </row>
    <row r="1078" spans="1:8" x14ac:dyDescent="0.3">
      <c r="A1078" s="1">
        <v>46203</v>
      </c>
      <c r="B1078">
        <v>18</v>
      </c>
      <c r="C1078">
        <v>7</v>
      </c>
      <c r="D1078">
        <v>32</v>
      </c>
      <c r="E1078">
        <v>12026</v>
      </c>
      <c r="F1078">
        <v>18</v>
      </c>
      <c r="G1078" t="s">
        <v>915</v>
      </c>
      <c r="H1078">
        <f>TIMEVALUE(SUBSTITUTE(SUBSTITUTE(_5__DAILY_USAGE_TREND[[#This Row],[TOTAL_DURATION]],"hour",":"),"min",""))</f>
        <v>0.22916666666666652</v>
      </c>
    </row>
    <row r="1079" spans="1:8" x14ac:dyDescent="0.3">
      <c r="A1079" s="1">
        <v>46204</v>
      </c>
      <c r="B1079">
        <v>27</v>
      </c>
      <c r="C1079">
        <v>10</v>
      </c>
      <c r="D1079">
        <v>62</v>
      </c>
      <c r="E1079">
        <v>18414</v>
      </c>
      <c r="F1079">
        <v>30</v>
      </c>
      <c r="G1079" t="s">
        <v>916</v>
      </c>
      <c r="H1079">
        <f>TIMEVALUE(SUBSTITUTE(SUBSTITUTE(_5__DAILY_USAGE_TREND[[#This Row],[TOTAL_DURATION]],"hour",":"),"min",""))</f>
        <v>0.98888888888888893</v>
      </c>
    </row>
    <row r="1080" spans="1:8" x14ac:dyDescent="0.3">
      <c r="A1080" s="1">
        <v>46205</v>
      </c>
      <c r="B1080">
        <v>32</v>
      </c>
      <c r="C1080">
        <v>10</v>
      </c>
      <c r="D1080">
        <v>73</v>
      </c>
      <c r="E1080">
        <v>27047</v>
      </c>
      <c r="F1080">
        <v>33</v>
      </c>
      <c r="G1080" t="s">
        <v>917</v>
      </c>
      <c r="H1080">
        <f>TIMEVALUE(SUBSTITUTE(SUBSTITUTE(_5__DAILY_USAGE_TREND[[#This Row],[TOTAL_DURATION]],"hour",":"),"min",""))</f>
        <v>0.34583333333333321</v>
      </c>
    </row>
    <row r="1081" spans="1:8" x14ac:dyDescent="0.3">
      <c r="A1081" s="1">
        <v>46206</v>
      </c>
      <c r="B1081">
        <v>42</v>
      </c>
      <c r="C1081">
        <v>9</v>
      </c>
      <c r="D1081">
        <v>110</v>
      </c>
      <c r="E1081">
        <v>40399</v>
      </c>
      <c r="F1081">
        <v>49</v>
      </c>
      <c r="G1081" t="s">
        <v>918</v>
      </c>
      <c r="H1081">
        <f>TIMEVALUE(SUBSTITUTE(SUBSTITUTE(_5__DAILY_USAGE_TREND[[#This Row],[TOTAL_DURATION]],"hour",":"),"min",""))</f>
        <v>0.88819444444444429</v>
      </c>
    </row>
    <row r="1082" spans="1:8" x14ac:dyDescent="0.3">
      <c r="A1082" s="1">
        <v>46207</v>
      </c>
      <c r="B1082">
        <v>35</v>
      </c>
      <c r="C1082">
        <v>10</v>
      </c>
      <c r="D1082">
        <v>97</v>
      </c>
      <c r="E1082">
        <v>34135</v>
      </c>
      <c r="F1082">
        <v>42</v>
      </c>
      <c r="G1082" t="s">
        <v>919</v>
      </c>
      <c r="H1082">
        <f>TIMEVALUE(SUBSTITUTE(SUBSTITUTE(_5__DAILY_USAGE_TREND[[#This Row],[TOTAL_DURATION]],"hour",":"),"min",""))</f>
        <v>0.18472222222222179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98FDE-DFF2-489A-AEBE-7259F8578F8F}">
  <dimension ref="A1:I4"/>
  <sheetViews>
    <sheetView workbookViewId="0">
      <selection activeCell="C9" sqref="C9"/>
    </sheetView>
  </sheetViews>
  <sheetFormatPr defaultRowHeight="14.4" x14ac:dyDescent="0.3"/>
  <cols>
    <col min="1" max="1" width="13" bestFit="1" customWidth="1"/>
    <col min="2" max="2" width="12.44140625" bestFit="1" customWidth="1"/>
    <col min="3" max="3" width="18.6640625" bestFit="1" customWidth="1"/>
    <col min="4" max="4" width="24.109375" bestFit="1" customWidth="1"/>
    <col min="5" max="5" width="21.33203125" bestFit="1" customWidth="1"/>
    <col min="6" max="6" width="21.88671875" bestFit="1" customWidth="1"/>
    <col min="7" max="7" width="24.21875" bestFit="1" customWidth="1"/>
    <col min="8" max="8" width="23.109375" bestFit="1" customWidth="1"/>
    <col min="9" max="9" width="19" style="19" bestFit="1" customWidth="1"/>
  </cols>
  <sheetData>
    <row r="1" spans="1:9" x14ac:dyDescent="0.3">
      <c r="A1" t="s">
        <v>920</v>
      </c>
      <c r="B1" t="s">
        <v>921</v>
      </c>
      <c r="C1" t="s">
        <v>1</v>
      </c>
      <c r="D1" t="s">
        <v>922</v>
      </c>
      <c r="E1" t="s">
        <v>83</v>
      </c>
      <c r="F1" t="s">
        <v>5</v>
      </c>
      <c r="G1" t="s">
        <v>84</v>
      </c>
      <c r="H1" t="s">
        <v>7</v>
      </c>
      <c r="I1" s="19" t="s">
        <v>955</v>
      </c>
    </row>
    <row r="2" spans="1:9" x14ac:dyDescent="0.3">
      <c r="A2">
        <v>1</v>
      </c>
      <c r="B2" s="22">
        <v>46174</v>
      </c>
      <c r="C2">
        <v>457</v>
      </c>
      <c r="D2">
        <v>10</v>
      </c>
      <c r="E2">
        <v>1519</v>
      </c>
      <c r="F2">
        <v>543467</v>
      </c>
      <c r="G2">
        <v>659</v>
      </c>
      <c r="H2" t="s">
        <v>923</v>
      </c>
      <c r="I2" s="20">
        <f>TIMEVALUE(SUBSTITUTE(SUBSTITUTE(_6__PEAK_USAGE_MONTHS[[#This Row],[TOTAL_DURATION]],"hour",":"),"min",""))</f>
        <v>0.80416666666666003</v>
      </c>
    </row>
    <row r="3" spans="1:9" x14ac:dyDescent="0.3">
      <c r="A3">
        <v>2</v>
      </c>
      <c r="B3" s="22">
        <v>46143</v>
      </c>
      <c r="C3">
        <v>424</v>
      </c>
      <c r="D3">
        <v>10</v>
      </c>
      <c r="E3">
        <v>1197</v>
      </c>
      <c r="F3">
        <v>435977</v>
      </c>
      <c r="G3">
        <v>506</v>
      </c>
      <c r="H3" t="s">
        <v>924</v>
      </c>
      <c r="I3" s="20">
        <f>TIMEVALUE(SUBSTITUTE(SUBSTITUTE(_6__PEAK_USAGE_MONTHS[[#This Row],[TOTAL_DURATION]],"hour",":"),"min",""))</f>
        <v>0.54097222222222285</v>
      </c>
    </row>
    <row r="4" spans="1:9" x14ac:dyDescent="0.3">
      <c r="A4">
        <v>3</v>
      </c>
      <c r="B4" s="22">
        <v>46113</v>
      </c>
      <c r="C4">
        <v>386</v>
      </c>
      <c r="D4">
        <v>10</v>
      </c>
      <c r="E4">
        <v>1055</v>
      </c>
      <c r="F4">
        <v>382024</v>
      </c>
      <c r="G4">
        <v>450</v>
      </c>
      <c r="H4" t="s">
        <v>925</v>
      </c>
      <c r="I4" s="20">
        <f>TIMEVALUE(SUBSTITUTE(SUBSTITUTE(_6__PEAK_USAGE_MONTHS[[#This Row],[TOTAL_DURATION]],"hour",":"),"min",""))</f>
        <v>0.77361111111110858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992A1-12CF-408E-9060-CD7F37C34645}">
  <dimension ref="A1:K33"/>
  <sheetViews>
    <sheetView topLeftCell="B13" workbookViewId="0">
      <selection activeCell="K34" sqref="K34"/>
    </sheetView>
  </sheetViews>
  <sheetFormatPr defaultRowHeight="14.4" x14ac:dyDescent="0.3"/>
  <cols>
    <col min="1" max="1" width="12.88671875" bestFit="1" customWidth="1"/>
    <col min="2" max="2" width="12.33203125" bestFit="1" customWidth="1"/>
    <col min="4" max="4" width="12.5546875" bestFit="1" customWidth="1"/>
    <col min="5" max="5" width="25.88671875" bestFit="1" customWidth="1"/>
    <col min="6" max="6" width="24.109375" bestFit="1" customWidth="1"/>
    <col min="7" max="7" width="27.109375" bestFit="1" customWidth="1"/>
    <col min="8" max="8" width="14.6640625" bestFit="1" customWidth="1"/>
    <col min="9" max="9" width="24.21875" bestFit="1" customWidth="1"/>
    <col min="10" max="10" width="31.109375" bestFit="1" customWidth="1"/>
    <col min="11" max="11" width="15.6640625" bestFit="1" customWidth="1"/>
    <col min="13" max="13" width="12.44140625" bestFit="1" customWidth="1"/>
    <col min="14" max="14" width="30.44140625" bestFit="1" customWidth="1"/>
  </cols>
  <sheetData>
    <row r="1" spans="1:9" x14ac:dyDescent="0.3">
      <c r="A1" s="26" t="s">
        <v>942</v>
      </c>
      <c r="B1" s="26"/>
      <c r="D1" s="26" t="s">
        <v>943</v>
      </c>
      <c r="E1" s="26"/>
      <c r="H1" s="26" t="s">
        <v>946</v>
      </c>
      <c r="I1" s="26"/>
    </row>
    <row r="2" spans="1:9" x14ac:dyDescent="0.3">
      <c r="A2" s="2" t="s">
        <v>941</v>
      </c>
      <c r="B2" s="3" t="s">
        <v>940</v>
      </c>
      <c r="D2" s="2" t="s">
        <v>926</v>
      </c>
      <c r="E2" s="3" t="s">
        <v>944</v>
      </c>
      <c r="H2" s="4" t="s">
        <v>926</v>
      </c>
      <c r="I2" s="5" t="s">
        <v>945</v>
      </c>
    </row>
    <row r="3" spans="1:9" x14ac:dyDescent="0.3">
      <c r="A3" s="3" t="s">
        <v>928</v>
      </c>
      <c r="B3" s="30">
        <v>509</v>
      </c>
      <c r="D3" s="3" t="s">
        <v>928</v>
      </c>
      <c r="E3" s="3">
        <v>558</v>
      </c>
      <c r="H3" s="6" t="s">
        <v>928</v>
      </c>
      <c r="I3" s="7">
        <v>411307</v>
      </c>
    </row>
    <row r="4" spans="1:9" x14ac:dyDescent="0.3">
      <c r="A4" s="3" t="s">
        <v>929</v>
      </c>
      <c r="B4" s="30">
        <v>531</v>
      </c>
      <c r="D4" s="3" t="s">
        <v>929</v>
      </c>
      <c r="E4" s="3">
        <v>581</v>
      </c>
      <c r="H4" s="6" t="s">
        <v>929</v>
      </c>
      <c r="I4" s="7">
        <v>419004</v>
      </c>
    </row>
    <row r="5" spans="1:9" x14ac:dyDescent="0.3">
      <c r="A5" s="3" t="s">
        <v>930</v>
      </c>
      <c r="B5" s="30">
        <v>639</v>
      </c>
      <c r="D5" s="3" t="s">
        <v>930</v>
      </c>
      <c r="E5" s="3">
        <v>710</v>
      </c>
      <c r="H5" s="6" t="s">
        <v>930</v>
      </c>
      <c r="I5" s="7">
        <v>525211</v>
      </c>
    </row>
    <row r="6" spans="1:9" x14ac:dyDescent="0.3">
      <c r="A6" s="3" t="s">
        <v>931</v>
      </c>
      <c r="B6" s="30">
        <v>711</v>
      </c>
      <c r="D6" s="3" t="s">
        <v>931</v>
      </c>
      <c r="E6" s="3">
        <v>812</v>
      </c>
      <c r="H6" s="6" t="s">
        <v>931</v>
      </c>
      <c r="I6" s="7">
        <v>600488</v>
      </c>
    </row>
    <row r="7" spans="1:9" x14ac:dyDescent="0.3">
      <c r="A7" s="3" t="s">
        <v>932</v>
      </c>
      <c r="B7" s="30">
        <v>791</v>
      </c>
      <c r="D7" s="3" t="s">
        <v>932</v>
      </c>
      <c r="E7" s="3">
        <v>906</v>
      </c>
      <c r="H7" s="6" t="s">
        <v>932</v>
      </c>
      <c r="I7" s="7">
        <v>648720</v>
      </c>
    </row>
    <row r="8" spans="1:9" x14ac:dyDescent="0.3">
      <c r="A8" s="3" t="s">
        <v>933</v>
      </c>
      <c r="B8" s="30">
        <v>827</v>
      </c>
      <c r="D8" s="3" t="s">
        <v>933</v>
      </c>
      <c r="E8" s="3">
        <v>1090</v>
      </c>
      <c r="H8" s="6" t="s">
        <v>933</v>
      </c>
      <c r="I8" s="7">
        <v>767590</v>
      </c>
    </row>
    <row r="9" spans="1:9" x14ac:dyDescent="0.3">
      <c r="A9" s="3" t="s">
        <v>934</v>
      </c>
      <c r="B9" s="30">
        <v>470</v>
      </c>
      <c r="D9" s="3" t="s">
        <v>934</v>
      </c>
      <c r="E9" s="3">
        <v>536</v>
      </c>
      <c r="H9" s="6" t="s">
        <v>934</v>
      </c>
      <c r="I9" s="7">
        <v>373079</v>
      </c>
    </row>
    <row r="10" spans="1:9" x14ac:dyDescent="0.3">
      <c r="A10" s="3" t="s">
        <v>935</v>
      </c>
      <c r="B10" s="30">
        <v>387</v>
      </c>
      <c r="D10" s="3" t="s">
        <v>935</v>
      </c>
      <c r="E10" s="3">
        <v>417</v>
      </c>
      <c r="H10" s="6" t="s">
        <v>935</v>
      </c>
      <c r="I10" s="7">
        <v>284596</v>
      </c>
    </row>
    <row r="11" spans="1:9" x14ac:dyDescent="0.3">
      <c r="A11" s="3" t="s">
        <v>936</v>
      </c>
      <c r="B11" s="30">
        <v>381</v>
      </c>
      <c r="D11" s="3" t="s">
        <v>936</v>
      </c>
      <c r="E11" s="3">
        <v>408</v>
      </c>
      <c r="H11" s="6" t="s">
        <v>936</v>
      </c>
      <c r="I11" s="7">
        <v>302326</v>
      </c>
    </row>
    <row r="12" spans="1:9" x14ac:dyDescent="0.3">
      <c r="A12" s="3" t="s">
        <v>937</v>
      </c>
      <c r="B12" s="30">
        <v>409</v>
      </c>
      <c r="D12" s="3" t="s">
        <v>937</v>
      </c>
      <c r="E12" s="3">
        <v>437</v>
      </c>
      <c r="H12" s="6" t="s">
        <v>937</v>
      </c>
      <c r="I12" s="7">
        <v>324720</v>
      </c>
    </row>
    <row r="13" spans="1:9" x14ac:dyDescent="0.3">
      <c r="A13" s="3" t="s">
        <v>938</v>
      </c>
      <c r="B13" s="30">
        <v>442</v>
      </c>
      <c r="D13" s="3" t="s">
        <v>938</v>
      </c>
      <c r="E13" s="3">
        <v>486</v>
      </c>
      <c r="H13" s="6" t="s">
        <v>938</v>
      </c>
      <c r="I13" s="7">
        <v>340008</v>
      </c>
    </row>
    <row r="14" spans="1:9" x14ac:dyDescent="0.3">
      <c r="A14" s="3" t="s">
        <v>939</v>
      </c>
      <c r="B14" s="30">
        <v>518</v>
      </c>
      <c r="D14" s="3" t="s">
        <v>939</v>
      </c>
      <c r="E14" s="3">
        <v>559</v>
      </c>
      <c r="H14" s="6" t="s">
        <v>939</v>
      </c>
      <c r="I14" s="7">
        <v>401199</v>
      </c>
    </row>
    <row r="15" spans="1:9" x14ac:dyDescent="0.3">
      <c r="A15" s="3" t="s">
        <v>927</v>
      </c>
      <c r="B15" s="30">
        <v>6615</v>
      </c>
      <c r="D15" s="3" t="s">
        <v>927</v>
      </c>
      <c r="E15" s="3">
        <v>7500</v>
      </c>
      <c r="H15" s="5" t="s">
        <v>927</v>
      </c>
      <c r="I15" s="8">
        <v>5398248</v>
      </c>
    </row>
    <row r="19" spans="1:11" x14ac:dyDescent="0.3">
      <c r="A19" s="26" t="s">
        <v>948</v>
      </c>
      <c r="B19" s="26"/>
      <c r="D19" s="27" t="s">
        <v>961</v>
      </c>
      <c r="E19" s="28"/>
      <c r="F19" s="28"/>
      <c r="G19" s="28"/>
      <c r="H19" s="28"/>
      <c r="I19" s="28"/>
    </row>
    <row r="20" spans="1:11" x14ac:dyDescent="0.3">
      <c r="A20" s="11" t="s">
        <v>926</v>
      </c>
      <c r="B20" t="s">
        <v>947</v>
      </c>
      <c r="D20" t="s">
        <v>956</v>
      </c>
      <c r="E20" t="s">
        <v>957</v>
      </c>
      <c r="F20" t="s">
        <v>958</v>
      </c>
      <c r="G20" t="s">
        <v>959</v>
      </c>
      <c r="H20" t="s">
        <v>960</v>
      </c>
      <c r="I20" t="s">
        <v>962</v>
      </c>
    </row>
    <row r="21" spans="1:11" x14ac:dyDescent="0.3">
      <c r="A21" s="12" t="s">
        <v>928</v>
      </c>
      <c r="B21" s="13">
        <v>2.1881944444444423</v>
      </c>
      <c r="D21" s="14">
        <v>5.957446808510638</v>
      </c>
      <c r="E21" s="14">
        <v>3.9602220166512487</v>
      </c>
      <c r="F21" s="14">
        <v>13.876040703052729</v>
      </c>
      <c r="G21" s="14">
        <v>4993.7539315448657</v>
      </c>
      <c r="H21" s="14">
        <v>6</v>
      </c>
      <c r="I21" s="17">
        <v>0.37850755473327147</v>
      </c>
    </row>
    <row r="22" spans="1:11" x14ac:dyDescent="0.3">
      <c r="A22" s="12" t="s">
        <v>929</v>
      </c>
      <c r="B22" s="13">
        <v>2.7097222222222221</v>
      </c>
    </row>
    <row r="23" spans="1:11" x14ac:dyDescent="0.3">
      <c r="A23" s="12" t="s">
        <v>930</v>
      </c>
      <c r="B23" s="13">
        <v>2.5805555555555562</v>
      </c>
      <c r="D23" s="14">
        <f>GETPIVOTDATA("Average of TOTAL_USERS",$D$20)</f>
        <v>5.957446808510638</v>
      </c>
      <c r="E23" s="14">
        <f>GETPIVOTDATA("Average of TOTAL_TOOL_USED",$D$20)</f>
        <v>3.9602220166512487</v>
      </c>
      <c r="F23" s="14">
        <f>GETPIVOTDATA("Average of TOTAL_PROMPTS",$D$20)</f>
        <v>13.876040703052729</v>
      </c>
      <c r="G23" s="14">
        <f>GETPIVOTDATA("Average of TOTAL_TOKEN_USED",$D$20)</f>
        <v>4993.7539315448657</v>
      </c>
      <c r="H23" s="14">
        <f>GETPIVOTDATA("Average of TOTAL_SESSIONS",$D$20)</f>
        <v>6</v>
      </c>
      <c r="I23" s="17">
        <f>GETPIVOTDATA("Average DURATION",$D$20)</f>
        <v>0.37850755473327147</v>
      </c>
    </row>
    <row r="24" spans="1:11" x14ac:dyDescent="0.3">
      <c r="A24" s="12" t="s">
        <v>931</v>
      </c>
      <c r="B24" s="13">
        <v>3.0243055555555554</v>
      </c>
    </row>
    <row r="25" spans="1:11" x14ac:dyDescent="0.3">
      <c r="A25" s="12" t="s">
        <v>932</v>
      </c>
      <c r="B25" s="13">
        <v>1.8895833333333301</v>
      </c>
    </row>
    <row r="26" spans="1:11" x14ac:dyDescent="0.3">
      <c r="A26" s="12" t="s">
        <v>933</v>
      </c>
      <c r="B26" s="13">
        <v>2.9055555555555559</v>
      </c>
    </row>
    <row r="27" spans="1:11" x14ac:dyDescent="0.3">
      <c r="A27" s="12" t="s">
        <v>934</v>
      </c>
      <c r="B27" s="13">
        <v>2.4833333333333329</v>
      </c>
    </row>
    <row r="28" spans="1:11" x14ac:dyDescent="0.3">
      <c r="A28" s="12" t="s">
        <v>935</v>
      </c>
      <c r="B28" s="13">
        <v>2.025694444444444</v>
      </c>
      <c r="D28" s="25" t="s">
        <v>963</v>
      </c>
      <c r="E28" s="25"/>
      <c r="F28" s="25"/>
      <c r="G28" s="25"/>
      <c r="H28" s="25"/>
      <c r="I28" s="25"/>
      <c r="J28" s="25"/>
      <c r="K28" s="25"/>
    </row>
    <row r="29" spans="1:11" x14ac:dyDescent="0.3">
      <c r="A29" s="12" t="s">
        <v>936</v>
      </c>
      <c r="B29" s="13">
        <v>1.2222222222222219</v>
      </c>
      <c r="D29" s="21" t="s">
        <v>920</v>
      </c>
      <c r="E29" s="21" t="s">
        <v>921</v>
      </c>
      <c r="F29" s="21" t="s">
        <v>1</v>
      </c>
      <c r="G29" s="21" t="s">
        <v>922</v>
      </c>
      <c r="H29" s="21" t="s">
        <v>83</v>
      </c>
      <c r="I29" s="21" t="s">
        <v>5</v>
      </c>
      <c r="J29" s="21" t="s">
        <v>84</v>
      </c>
      <c r="K29" s="21" t="s">
        <v>7</v>
      </c>
    </row>
    <row r="30" spans="1:11" x14ac:dyDescent="0.3">
      <c r="A30" s="12" t="s">
        <v>937</v>
      </c>
      <c r="B30" s="13">
        <v>1.3819444444444429</v>
      </c>
      <c r="D30" s="3">
        <v>1</v>
      </c>
      <c r="E30" s="23">
        <v>46174</v>
      </c>
      <c r="F30" s="3">
        <v>457</v>
      </c>
      <c r="G30" s="3">
        <v>10</v>
      </c>
      <c r="H30" s="3">
        <v>1519</v>
      </c>
      <c r="I30" s="24">
        <v>5.4346699999999997</v>
      </c>
      <c r="J30" s="3">
        <v>659</v>
      </c>
      <c r="K30" s="3" t="s">
        <v>964</v>
      </c>
    </row>
    <row r="31" spans="1:11" x14ac:dyDescent="0.3">
      <c r="A31" s="12" t="s">
        <v>938</v>
      </c>
      <c r="B31" s="13">
        <v>1.0972222222222237</v>
      </c>
      <c r="D31" s="3">
        <v>2</v>
      </c>
      <c r="E31" s="23">
        <v>46143</v>
      </c>
      <c r="F31" s="3">
        <v>424</v>
      </c>
      <c r="G31" s="3">
        <v>10</v>
      </c>
      <c r="H31" s="3">
        <v>1197</v>
      </c>
      <c r="I31" s="24">
        <v>4.3597700000000001</v>
      </c>
      <c r="J31" s="3">
        <v>506</v>
      </c>
      <c r="K31" s="3" t="s">
        <v>965</v>
      </c>
    </row>
    <row r="32" spans="1:11" x14ac:dyDescent="0.3">
      <c r="A32" s="12" t="s">
        <v>939</v>
      </c>
      <c r="B32" s="13">
        <v>0.71666666666666634</v>
      </c>
      <c r="D32" s="3">
        <v>3</v>
      </c>
      <c r="E32" s="23">
        <v>46113</v>
      </c>
      <c r="F32" s="3">
        <v>386</v>
      </c>
      <c r="G32" s="3">
        <v>10</v>
      </c>
      <c r="H32" s="3">
        <v>1055</v>
      </c>
      <c r="I32" s="24">
        <v>3.8202400000000001</v>
      </c>
      <c r="J32" s="3">
        <v>450</v>
      </c>
      <c r="K32" s="3" t="s">
        <v>966</v>
      </c>
    </row>
    <row r="33" spans="1:2" x14ac:dyDescent="0.3">
      <c r="A33" s="12" t="s">
        <v>927</v>
      </c>
      <c r="B33" s="13">
        <v>24.224999999999994</v>
      </c>
    </row>
  </sheetData>
  <mergeCells count="6">
    <mergeCell ref="D28:K28"/>
    <mergeCell ref="A1:B1"/>
    <mergeCell ref="D1:E1"/>
    <mergeCell ref="H1:I1"/>
    <mergeCell ref="A19:B19"/>
    <mergeCell ref="D19:I19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9DDFB-55B2-408C-97AB-31351B67B917}">
  <dimension ref="W8"/>
  <sheetViews>
    <sheetView tabSelected="1" topLeftCell="B16" zoomScale="99" zoomScaleNormal="99" workbookViewId="0">
      <selection activeCell="X34" sqref="X34"/>
    </sheetView>
  </sheetViews>
  <sheetFormatPr defaultRowHeight="14.4" x14ac:dyDescent="0.3"/>
  <sheetData>
    <row r="8" spans="23:23" x14ac:dyDescent="0.3">
      <c r="W8">
        <f>33.87/6</f>
        <v>5.6449999999999996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4F4C7A-E1C9-4071-A4DD-60D60C4039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 MONTHLY USER SIGNUPS</vt:lpstr>
      <vt:lpstr>2  MONTHLY SESSIONS</vt:lpstr>
      <vt:lpstr>3  MONTHLY TOKEN USED</vt:lpstr>
      <vt:lpstr>4  MONTHLY AVG SESSION DURATION</vt:lpstr>
      <vt:lpstr>5  DAILY USAGE TREND</vt:lpstr>
      <vt:lpstr>6  PEAK USAGE MONTHS</vt:lpstr>
      <vt:lpstr>CAL</vt:lpstr>
      <vt:lpstr>DASH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 AKASH</dc:creator>
  <cp:lastModifiedBy>L. AKASH</cp:lastModifiedBy>
  <dcterms:created xsi:type="dcterms:W3CDTF">2026-07-25T12:36:57Z</dcterms:created>
  <dcterms:modified xsi:type="dcterms:W3CDTF">2026-07-27T14:36:36Z</dcterms:modified>
</cp:coreProperties>
</file>