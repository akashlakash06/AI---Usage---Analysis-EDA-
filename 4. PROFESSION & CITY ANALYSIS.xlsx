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sh\PROJECT\EXCELL WORKBOOK\"/>
    </mc:Choice>
  </mc:AlternateContent>
  <xr:revisionPtr revIDLastSave="0" documentId="13_ncr:1_{DE2350C3-19D8-4936-9DD8-F4B9BC4A1D18}" xr6:coauthVersionLast="47" xr6:coauthVersionMax="47" xr10:uidLastSave="{00000000-0000-0000-0000-000000000000}"/>
  <bookViews>
    <workbookView xWindow="-108" yWindow="-108" windowWidth="23256" windowHeight="12456" firstSheet="4" activeTab="8" xr2:uid="{AD70A7E9-C251-487B-B7BE-B6E0490B02E6}"/>
  </bookViews>
  <sheets>
    <sheet name="1 SESSIONS BY PROFESSION" sheetId="2" r:id="rId1"/>
    <sheet name="2  TOK BY PR" sheetId="3" r:id="rId2"/>
    <sheet name="3  AVG PR DU" sheetId="4" r:id="rId3"/>
    <sheet name="4  FAVORITE AI TOOLS BY PRO" sheetId="5" r:id="rId4"/>
    <sheet name="5  SESSIONS BY CITY" sheetId="6" r:id="rId5"/>
    <sheet name="6  TOKENS BY CITY" sheetId="7" r:id="rId6"/>
    <sheet name="7  FAVORITE AI TOOL BY CITY" sheetId="8" r:id="rId7"/>
    <sheet name="CALCULATIONS" sheetId="1" r:id="rId8"/>
    <sheet name="DASH" sheetId="9" r:id="rId9"/>
  </sheets>
  <definedNames>
    <definedName name="ExternalData_1" localSheetId="0" hidden="1">'1 SESSIONS BY PROFESSION'!$A$1:$B$11</definedName>
    <definedName name="ExternalData_1" localSheetId="1" hidden="1">'2  TOK BY PR'!$A$1:$B$11</definedName>
    <definedName name="ExternalData_1" localSheetId="2" hidden="1">'3  AVG PR DU'!$A$1:$B$48</definedName>
    <definedName name="ExternalData_1" localSheetId="4" hidden="1">'5  SESSIONS BY CITY'!$A$1:$B$35</definedName>
    <definedName name="ExternalData_1" localSheetId="5" hidden="1">'6  TOKENS BY CITY'!$A$1:$B$35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9" i="9" l="1"/>
  <c r="B48" i="7"/>
  <c r="B47" i="7"/>
  <c r="B46" i="7"/>
  <c r="B45" i="7"/>
  <c r="B44" i="7"/>
  <c r="B43" i="7"/>
  <c r="B42" i="7"/>
  <c r="B41" i="7"/>
  <c r="B40" i="7"/>
  <c r="B49" i="7"/>
  <c r="A49" i="7"/>
  <c r="A48" i="7"/>
  <c r="A47" i="7"/>
  <c r="A46" i="7"/>
  <c r="A45" i="7"/>
  <c r="A44" i="7"/>
  <c r="A43" i="7"/>
  <c r="A42" i="7"/>
  <c r="A41" i="7"/>
  <c r="A4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40013-2510-4567-9220-782276619138}" keepAlive="1" name="Query - 1 SESSIONS BY PROFESSION" description="Connection to the '1 SESSIONS BY PROFESSION' query in the workbook." type="5" refreshedVersion="8" background="1" saveData="1">
    <dbPr connection="Provider=Microsoft.Mashup.OleDb.1;Data Source=$Workbook$;Location=&quot;1 SESSIONS BY PROFESSION&quot;;Extended Properties=&quot;&quot;" command="SELECT * FROM [1 SESSIONS BY PROFESSION]"/>
  </connection>
  <connection id="2" xr16:uid="{2675928C-601A-4434-B3FF-FE1FA02249A3}" keepAlive="1" name="Query - 2  TOKENS BY PROFESSION" description="Connection to the '2  TOKENS BY PROFESSION' query in the workbook." type="5" refreshedVersion="8" background="1" saveData="1">
    <dbPr connection="Provider=Microsoft.Mashup.OleDb.1;Data Source=$Workbook$;Location=&quot;2  TOKENS BY PROFESSION&quot;;Extended Properties=&quot;&quot;" command="SELECT * FROM [2  TOKENS BY PROFESSION]"/>
  </connection>
  <connection id="3" xr16:uid="{AF45F730-FA80-481A-9118-467831A830E5}" keepAlive="1" name="Query - 3  AVG PROFESSION DURATION" description="Connection to the '3  AVG PROFESSION DURATION' query in the workbook." type="5" refreshedVersion="8" background="1" saveData="1">
    <dbPr connection="Provider=Microsoft.Mashup.OleDb.1;Data Source=$Workbook$;Location=&quot;3  AVG PROFESSION DURATION&quot;;Extended Properties=&quot;&quot;" command="SELECT * FROM [3  AVG PROFESSION DURATION]"/>
  </connection>
  <connection id="4" xr16:uid="{8B1C2068-6EAF-43B9-AA92-52833D9458CB}" keepAlive="1" name="Query - 4  FAVORITE AI TOOLS BY PRO" description="Connection to the '4  FAVORITE AI TOOLS BY PRO' query in the workbook." type="5" refreshedVersion="8" background="1" saveData="1">
    <dbPr connection="Provider=Microsoft.Mashup.OleDb.1;Data Source=$Workbook$;Location=&quot;4  FAVORITE AI TOOLS BY PRO&quot;;Extended Properties=&quot;&quot;" command="SELECT * FROM [4  FAVORITE AI TOOLS BY PRO]"/>
  </connection>
  <connection id="5" xr16:uid="{9781887E-7AD8-4435-9679-61A29F278C45}" keepAlive="1" name="Query - 5  SESSIONS BY CITY" description="Connection to the '5  SESSIONS BY CITY' query in the workbook." type="5" refreshedVersion="8" background="1" saveData="1">
    <dbPr connection="Provider=Microsoft.Mashup.OleDb.1;Data Source=$Workbook$;Location=&quot;5  SESSIONS BY CITY&quot;;Extended Properties=&quot;&quot;" command="SELECT * FROM [5  SESSIONS BY CITY]"/>
  </connection>
  <connection id="6" xr16:uid="{A28E71C5-7B2B-41F1-8C1F-7E11AAD6BA3C}" keepAlive="1" name="Query - 6  TOKENS BY CITY" description="Connection to the '6  TOKENS BY CITY' query in the workbook." type="5" refreshedVersion="8" background="1" saveData="1">
    <dbPr connection="Provider=Microsoft.Mashup.OleDb.1;Data Source=$Workbook$;Location=&quot;6  TOKENS BY CITY&quot;;Extended Properties=&quot;&quot;" command="SELECT * FROM [6  TOKENS BY CITY]"/>
  </connection>
  <connection id="7" xr16:uid="{0F863BDA-1006-451F-BBE1-BB9E6A104044}" keepAlive="1" name="Query - 7  FAVORITE AI TOOL BY CITY" description="Connection to the '7  FAVORITE AI TOOL BY CITY' query in the workbook." type="5" refreshedVersion="8" background="1" saveData="1">
    <dbPr connection="Provider=Microsoft.Mashup.OleDb.1;Data Source=$Workbook$;Location=&quot;7  FAVORITE AI TOOL BY CITY&quot;;Extended Properties=&quot;&quot;" command="SELECT * FROM [7  FAVORITE AI TOOL BY CITY]"/>
  </connection>
</connections>
</file>

<file path=xl/sharedStrings.xml><?xml version="1.0" encoding="utf-8"?>
<sst xmlns="http://schemas.openxmlformats.org/spreadsheetml/2006/main" count="395" uniqueCount="111">
  <si>
    <t>PROFESSION</t>
  </si>
  <si>
    <t>TOTAL_SESSIONS</t>
  </si>
  <si>
    <t>Software Engineer</t>
  </si>
  <si>
    <t>Legal Advisor</t>
  </si>
  <si>
    <t>QA Engineer</t>
  </si>
  <si>
    <t>Machine Learning Engineer</t>
  </si>
  <si>
    <t>CIO</t>
  </si>
  <si>
    <t>Accountant</t>
  </si>
  <si>
    <t>Project Manager</t>
  </si>
  <si>
    <t>Product Manager</t>
  </si>
  <si>
    <t>Content Writer</t>
  </si>
  <si>
    <t>Data Analyst</t>
  </si>
  <si>
    <t>PEOFESSION</t>
  </si>
  <si>
    <t>TOKEN_USED</t>
  </si>
  <si>
    <t>Quality Assurance Manager</t>
  </si>
  <si>
    <t>Consultant</t>
  </si>
  <si>
    <t>Freelancer</t>
  </si>
  <si>
    <t>Backend Developer</t>
  </si>
  <si>
    <t>Marketing Manager</t>
  </si>
  <si>
    <t>Network Engineer</t>
  </si>
  <si>
    <t>Cloud Architect</t>
  </si>
  <si>
    <t>Frontend Developer</t>
  </si>
  <si>
    <t>Entrepreneur</t>
  </si>
  <si>
    <t>Designer</t>
  </si>
  <si>
    <t>TOTAL_MINUTES</t>
  </si>
  <si>
    <t>Full Stack Developer</t>
  </si>
  <si>
    <t>Business Analyst</t>
  </si>
  <si>
    <t>Finance Analyst</t>
  </si>
  <si>
    <t>Sales Executive</t>
  </si>
  <si>
    <t>Customer Success Manager</t>
  </si>
  <si>
    <t>Management Consultant</t>
  </si>
  <si>
    <t>Database Administrator</t>
  </si>
  <si>
    <t>Strategy Manager</t>
  </si>
  <si>
    <t>Procurement Officer</t>
  </si>
  <si>
    <t>Supply Chain Manager</t>
  </si>
  <si>
    <t>DevOps Engineer</t>
  </si>
  <si>
    <t>Educator</t>
  </si>
  <si>
    <t>Operations Manager</t>
  </si>
  <si>
    <t>Mobile Developer</t>
  </si>
  <si>
    <t>Journalist</t>
  </si>
  <si>
    <t>Business Development Manager</t>
  </si>
  <si>
    <t>Tax Consultant</t>
  </si>
  <si>
    <t>Security Engineer</t>
  </si>
  <si>
    <t>Data Scientist</t>
  </si>
  <si>
    <t>Logistics Manager</t>
  </si>
  <si>
    <t>HR Manager</t>
  </si>
  <si>
    <t>Support Engineer</t>
  </si>
  <si>
    <t>CTO</t>
  </si>
  <si>
    <t>Solutions Architect</t>
  </si>
  <si>
    <t>Systems Administrator</t>
  </si>
  <si>
    <t>Trainer</t>
  </si>
  <si>
    <t>IT Manager</t>
  </si>
  <si>
    <t>FAVORITE_TOOL</t>
  </si>
  <si>
    <t>Perplexity</t>
  </si>
  <si>
    <t>Midjourney</t>
  </si>
  <si>
    <t>Copilot</t>
  </si>
  <si>
    <t>Canva AI</t>
  </si>
  <si>
    <t>Grok</t>
  </si>
  <si>
    <t>Firefly</t>
  </si>
  <si>
    <t>Claude</t>
  </si>
  <si>
    <t>ChatGPT</t>
  </si>
  <si>
    <t>DeepSeek</t>
  </si>
  <si>
    <t>CITY</t>
  </si>
  <si>
    <t>Vadodara</t>
  </si>
  <si>
    <t>Vijayawada</t>
  </si>
  <si>
    <t>Madurai</t>
  </si>
  <si>
    <t>Thrissur</t>
  </si>
  <si>
    <t>Delhi</t>
  </si>
  <si>
    <t>Tiruppur</t>
  </si>
  <si>
    <t>Calicut</t>
  </si>
  <si>
    <t>Faridabad</t>
  </si>
  <si>
    <t>Bangalore</t>
  </si>
  <si>
    <t>Mumbai</t>
  </si>
  <si>
    <t>Nashik</t>
  </si>
  <si>
    <t>Chandigarh</t>
  </si>
  <si>
    <t>Nagpur</t>
  </si>
  <si>
    <t>Indore</t>
  </si>
  <si>
    <t>Lucknow</t>
  </si>
  <si>
    <t>Noida</t>
  </si>
  <si>
    <t>Coimbatore</t>
  </si>
  <si>
    <t>Surat</t>
  </si>
  <si>
    <t>Kolkata</t>
  </si>
  <si>
    <t>Ahmedabad</t>
  </si>
  <si>
    <t>Pune</t>
  </si>
  <si>
    <t>Hyderabad</t>
  </si>
  <si>
    <t>Ludhiana</t>
  </si>
  <si>
    <t>Aurangabad</t>
  </si>
  <si>
    <t>Chennai</t>
  </si>
  <si>
    <t>Ghaziabad</t>
  </si>
  <si>
    <t>Gurgaon</t>
  </si>
  <si>
    <t>Agra</t>
  </si>
  <si>
    <t>Kochi</t>
  </si>
  <si>
    <t>Visakhapatnam</t>
  </si>
  <si>
    <t>Jaipur</t>
  </si>
  <si>
    <t>Erode</t>
  </si>
  <si>
    <t>Trivandrum</t>
  </si>
  <si>
    <t>Salem</t>
  </si>
  <si>
    <t>TOTAL_TOKENS_USED</t>
  </si>
  <si>
    <t>Gemini</t>
  </si>
  <si>
    <t>SESSIONS BY PROFESSION</t>
  </si>
  <si>
    <t>Row Labels</t>
  </si>
  <si>
    <t>Grand Total</t>
  </si>
  <si>
    <t>Sum of TOTAL_SESSIONS</t>
  </si>
  <si>
    <t>Sum of TOKEN_USED</t>
  </si>
  <si>
    <t>Sum of TOTAL_MINUTES</t>
  </si>
  <si>
    <t>TOKENS BY PROFESSION</t>
  </si>
  <si>
    <t>AVG SESSION DURATION</t>
  </si>
  <si>
    <t>SESSIONS BY CITY</t>
  </si>
  <si>
    <t>COUNT</t>
  </si>
  <si>
    <t>Sum of COUNT</t>
  </si>
  <si>
    <t>Count of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</si>
</sst>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2" xfId="0" applyFill="1" applyBorder="1"/>
    <xf numFmtId="0" fontId="0" fillId="0" borderId="2" xfId="0" applyBorder="1"/>
    <xf numFmtId="0" fontId="1" fillId="3" borderId="0" xfId="0" applyFont="1" applyFill="1"/>
    <xf numFmtId="0" fontId="1" fillId="4" borderId="0" xfId="0" applyFont="1" applyFill="1"/>
    <xf numFmtId="0" fontId="0" fillId="0" borderId="3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fill>
        <patternFill patternType="solid">
          <fgColor theme="9" tint="0.79998168889431442"/>
          <bgColor rgb="FFFFFF00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51A8B"/>
      <color rgb="FFA42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ANALYSIS.xlsx]1 SESSIONS BY PROFESSION!PivotTable3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 SESSIONS BY PROFESSION'!$B$15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 SESSIONS BY PROFESSION'!$A$16:$A$26</c:f>
              <c:strCache>
                <c:ptCount val="10"/>
                <c:pt idx="0">
                  <c:v>Data Analyst</c:v>
                </c:pt>
                <c:pt idx="1">
                  <c:v>Content Writer</c:v>
                </c:pt>
                <c:pt idx="2">
                  <c:v>Product Manager</c:v>
                </c:pt>
                <c:pt idx="3">
                  <c:v>Accountant</c:v>
                </c:pt>
                <c:pt idx="4">
                  <c:v>Project Manager</c:v>
                </c:pt>
                <c:pt idx="5">
                  <c:v>CIO</c:v>
                </c:pt>
                <c:pt idx="6">
                  <c:v>Machine Learning Engineer</c:v>
                </c:pt>
                <c:pt idx="7">
                  <c:v>QA Engineer</c:v>
                </c:pt>
                <c:pt idx="8">
                  <c:v>Legal Advisor</c:v>
                </c:pt>
                <c:pt idx="9">
                  <c:v>Software Engineer</c:v>
                </c:pt>
              </c:strCache>
            </c:strRef>
          </c:cat>
          <c:val>
            <c:numRef>
              <c:f>'1 SESSIONS BY PROFESSION'!$B$16:$B$26</c:f>
              <c:numCache>
                <c:formatCode>General</c:formatCode>
                <c:ptCount val="10"/>
                <c:pt idx="0">
                  <c:v>186</c:v>
                </c:pt>
                <c:pt idx="1">
                  <c:v>187</c:v>
                </c:pt>
                <c:pt idx="2">
                  <c:v>188</c:v>
                </c:pt>
                <c:pt idx="3">
                  <c:v>192</c:v>
                </c:pt>
                <c:pt idx="4">
                  <c:v>192</c:v>
                </c:pt>
                <c:pt idx="5">
                  <c:v>195</c:v>
                </c:pt>
                <c:pt idx="6">
                  <c:v>199</c:v>
                </c:pt>
                <c:pt idx="7">
                  <c:v>202</c:v>
                </c:pt>
                <c:pt idx="8">
                  <c:v>203</c:v>
                </c:pt>
                <c:pt idx="9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D-49EE-8E3A-E015C8F4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3762464"/>
        <c:axId val="1616801936"/>
      </c:barChart>
      <c:catAx>
        <c:axId val="115376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01936"/>
        <c:crosses val="autoZero"/>
        <c:auto val="1"/>
        <c:lblAlgn val="ctr"/>
        <c:lblOffset val="100"/>
        <c:noMultiLvlLbl val="0"/>
      </c:catAx>
      <c:valAx>
        <c:axId val="161680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6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ANALYSIS.xlsx]2  TOK BY PR!PivotTable4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  TOK BY PR'!$B$15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 TOK BY PR'!$A$16:$A$26</c:f>
              <c:strCache>
                <c:ptCount val="10"/>
                <c:pt idx="0">
                  <c:v>Quality Assurance Manager</c:v>
                </c:pt>
                <c:pt idx="1">
                  <c:v>Consultant</c:v>
                </c:pt>
                <c:pt idx="2">
                  <c:v>Freelancer</c:v>
                </c:pt>
                <c:pt idx="3">
                  <c:v>Backend Developer</c:v>
                </c:pt>
                <c:pt idx="4">
                  <c:v>Marketing Manager</c:v>
                </c:pt>
                <c:pt idx="5">
                  <c:v>Network Engineer</c:v>
                </c:pt>
                <c:pt idx="6">
                  <c:v>Cloud Architect</c:v>
                </c:pt>
                <c:pt idx="7">
                  <c:v>Frontend Developer</c:v>
                </c:pt>
                <c:pt idx="8">
                  <c:v>Entrepreneur</c:v>
                </c:pt>
                <c:pt idx="9">
                  <c:v>Designer</c:v>
                </c:pt>
              </c:strCache>
            </c:strRef>
          </c:cat>
          <c:val>
            <c:numRef>
              <c:f>'2  TOK BY PR'!$B$16:$B$26</c:f>
              <c:numCache>
                <c:formatCode>General</c:formatCode>
                <c:ptCount val="10"/>
                <c:pt idx="0">
                  <c:v>55369</c:v>
                </c:pt>
                <c:pt idx="1">
                  <c:v>73925</c:v>
                </c:pt>
                <c:pt idx="2">
                  <c:v>79762</c:v>
                </c:pt>
                <c:pt idx="3">
                  <c:v>81288</c:v>
                </c:pt>
                <c:pt idx="4">
                  <c:v>83941</c:v>
                </c:pt>
                <c:pt idx="5">
                  <c:v>85532</c:v>
                </c:pt>
                <c:pt idx="6">
                  <c:v>86453</c:v>
                </c:pt>
                <c:pt idx="7">
                  <c:v>91036</c:v>
                </c:pt>
                <c:pt idx="8">
                  <c:v>93777</c:v>
                </c:pt>
                <c:pt idx="9">
                  <c:v>94424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9-4BF8-9CD3-015ED27A1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4868943"/>
        <c:axId val="1616744816"/>
      </c:barChart>
      <c:catAx>
        <c:axId val="36486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44816"/>
        <c:crosses val="autoZero"/>
        <c:auto val="1"/>
        <c:lblAlgn val="ctr"/>
        <c:lblOffset val="100"/>
        <c:noMultiLvlLbl val="0"/>
      </c:catAx>
      <c:valAx>
        <c:axId val="161674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6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[4. PROFESSION &amp; CITY ANALYSIS.xlsx]3  AVG PR DU!PivotTable5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  AVG PR DU'!$B$51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  AVG PR DU'!$A$52:$A$62</c:f>
              <c:strCache>
                <c:ptCount val="10"/>
                <c:pt idx="0">
                  <c:v>Freelancer</c:v>
                </c:pt>
                <c:pt idx="1">
                  <c:v>Full Stack Developer</c:v>
                </c:pt>
                <c:pt idx="2">
                  <c:v>Quality Assurance Manager</c:v>
                </c:pt>
                <c:pt idx="3">
                  <c:v>Consultant</c:v>
                </c:pt>
                <c:pt idx="4">
                  <c:v>Business Analyst</c:v>
                </c:pt>
                <c:pt idx="5">
                  <c:v>Cloud Architect</c:v>
                </c:pt>
                <c:pt idx="6">
                  <c:v>Designer</c:v>
                </c:pt>
                <c:pt idx="7">
                  <c:v>Finance Analyst</c:v>
                </c:pt>
                <c:pt idx="8">
                  <c:v>Sales Executive</c:v>
                </c:pt>
                <c:pt idx="9">
                  <c:v>CIO</c:v>
                </c:pt>
              </c:strCache>
            </c:strRef>
          </c:cat>
          <c:val>
            <c:numRef>
              <c:f>'3  AVG PR DU'!$B$52:$B$62</c:f>
              <c:numCache>
                <c:formatCode>General</c:formatCode>
                <c:ptCount val="10"/>
                <c:pt idx="0">
                  <c:v>104</c:v>
                </c:pt>
                <c:pt idx="1">
                  <c:v>103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99</c:v>
                </c:pt>
                <c:pt idx="6">
                  <c:v>98</c:v>
                </c:pt>
                <c:pt idx="7">
                  <c:v>96</c:v>
                </c:pt>
                <c:pt idx="8">
                  <c:v>95</c:v>
                </c:pt>
                <c:pt idx="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3-46EE-8FD8-606924A7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940351"/>
        <c:axId val="1616803856"/>
      </c:lineChart>
      <c:catAx>
        <c:axId val="35394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03856"/>
        <c:crosses val="autoZero"/>
        <c:auto val="1"/>
        <c:lblAlgn val="ctr"/>
        <c:lblOffset val="100"/>
        <c:noMultiLvlLbl val="0"/>
      </c:catAx>
      <c:valAx>
        <c:axId val="16168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ANALYSIS.xlsx]1 SESSIONS BY PROFESSION!PivotTable3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51A8B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442935258092739"/>
          <c:y val="0.13425925925925927"/>
          <c:w val="0.70557056392087392"/>
          <c:h val="0.86111111111111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 SESSIONS BY PROFESSION'!$B$15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SESSIONS BY PROFESSION'!$A$16:$A$26</c:f>
              <c:strCache>
                <c:ptCount val="10"/>
                <c:pt idx="0">
                  <c:v>Data Analyst</c:v>
                </c:pt>
                <c:pt idx="1">
                  <c:v>Content Writer</c:v>
                </c:pt>
                <c:pt idx="2">
                  <c:v>Product Manager</c:v>
                </c:pt>
                <c:pt idx="3">
                  <c:v>Accountant</c:v>
                </c:pt>
                <c:pt idx="4">
                  <c:v>Project Manager</c:v>
                </c:pt>
                <c:pt idx="5">
                  <c:v>CIO</c:v>
                </c:pt>
                <c:pt idx="6">
                  <c:v>Machine Learning Engineer</c:v>
                </c:pt>
                <c:pt idx="7">
                  <c:v>QA Engineer</c:v>
                </c:pt>
                <c:pt idx="8">
                  <c:v>Legal Advisor</c:v>
                </c:pt>
                <c:pt idx="9">
                  <c:v>Software Engineer</c:v>
                </c:pt>
              </c:strCache>
            </c:strRef>
          </c:cat>
          <c:val>
            <c:numRef>
              <c:f>'1 SESSIONS BY PROFESSION'!$B$16:$B$26</c:f>
              <c:numCache>
                <c:formatCode>General</c:formatCode>
                <c:ptCount val="10"/>
                <c:pt idx="0">
                  <c:v>186</c:v>
                </c:pt>
                <c:pt idx="1">
                  <c:v>187</c:v>
                </c:pt>
                <c:pt idx="2">
                  <c:v>188</c:v>
                </c:pt>
                <c:pt idx="3">
                  <c:v>192</c:v>
                </c:pt>
                <c:pt idx="4">
                  <c:v>192</c:v>
                </c:pt>
                <c:pt idx="5">
                  <c:v>195</c:v>
                </c:pt>
                <c:pt idx="6">
                  <c:v>199</c:v>
                </c:pt>
                <c:pt idx="7">
                  <c:v>202</c:v>
                </c:pt>
                <c:pt idx="8">
                  <c:v>203</c:v>
                </c:pt>
                <c:pt idx="9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B-40E2-B1B9-5CCBE3A02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37"/>
        <c:axId val="1153762464"/>
        <c:axId val="1616801936"/>
      </c:barChart>
      <c:catAx>
        <c:axId val="115376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01936"/>
        <c:crosses val="autoZero"/>
        <c:auto val="1"/>
        <c:lblAlgn val="ctr"/>
        <c:lblOffset val="100"/>
        <c:noMultiLvlLbl val="0"/>
      </c:catAx>
      <c:valAx>
        <c:axId val="16168019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376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ANALYSIS.xlsx]2  TOK BY PR!PivotTable4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51A8B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#,##0.0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76312335958005"/>
          <c:y val="0.14814814814814814"/>
          <c:w val="0.70123683692549943"/>
          <c:h val="0.85185185185185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  TOK BY PR'!$B$15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#,##0.0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 TOK BY PR'!$A$16:$A$26</c:f>
              <c:strCache>
                <c:ptCount val="10"/>
                <c:pt idx="0">
                  <c:v>Quality Assurance Manager</c:v>
                </c:pt>
                <c:pt idx="1">
                  <c:v>Consultant</c:v>
                </c:pt>
                <c:pt idx="2">
                  <c:v>Freelancer</c:v>
                </c:pt>
                <c:pt idx="3">
                  <c:v>Backend Developer</c:v>
                </c:pt>
                <c:pt idx="4">
                  <c:v>Marketing Manager</c:v>
                </c:pt>
                <c:pt idx="5">
                  <c:v>Network Engineer</c:v>
                </c:pt>
                <c:pt idx="6">
                  <c:v>Cloud Architect</c:v>
                </c:pt>
                <c:pt idx="7">
                  <c:v>Frontend Developer</c:v>
                </c:pt>
                <c:pt idx="8">
                  <c:v>Entrepreneur</c:v>
                </c:pt>
                <c:pt idx="9">
                  <c:v>Designer</c:v>
                </c:pt>
              </c:strCache>
            </c:strRef>
          </c:cat>
          <c:val>
            <c:numRef>
              <c:f>'2  TOK BY PR'!$B$16:$B$26</c:f>
              <c:numCache>
                <c:formatCode>General</c:formatCode>
                <c:ptCount val="10"/>
                <c:pt idx="0">
                  <c:v>55369</c:v>
                </c:pt>
                <c:pt idx="1">
                  <c:v>73925</c:v>
                </c:pt>
                <c:pt idx="2">
                  <c:v>79762</c:v>
                </c:pt>
                <c:pt idx="3">
                  <c:v>81288</c:v>
                </c:pt>
                <c:pt idx="4">
                  <c:v>83941</c:v>
                </c:pt>
                <c:pt idx="5">
                  <c:v>85532</c:v>
                </c:pt>
                <c:pt idx="6">
                  <c:v>86453</c:v>
                </c:pt>
                <c:pt idx="7">
                  <c:v>91036</c:v>
                </c:pt>
                <c:pt idx="8">
                  <c:v>93777</c:v>
                </c:pt>
                <c:pt idx="9">
                  <c:v>94424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9-41CA-8687-BFC5A13D09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364868943"/>
        <c:axId val="1616744816"/>
      </c:barChart>
      <c:catAx>
        <c:axId val="36486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44816"/>
        <c:crosses val="autoZero"/>
        <c:auto val="1"/>
        <c:lblAlgn val="ctr"/>
        <c:lblOffset val="100"/>
        <c:noMultiLvlLbl val="0"/>
      </c:catAx>
      <c:valAx>
        <c:axId val="16167448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486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90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[4. PROFESSION &amp; CITY ANALYSIS.xlsx]3  AVG PR DU!PivotTable5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51A8B"/>
            </a:solidFill>
            <a:round/>
          </a:ln>
          <a:effectLst/>
        </c:spPr>
        <c:marker>
          <c:symbol val="circle"/>
          <c:size val="5"/>
          <c:spPr>
            <a:solidFill>
              <a:sysClr val="window" lastClr="FFFFFF"/>
            </a:solidFill>
            <a:ln w="9525">
              <a:solidFill>
                <a:sysClr val="window" lastClr="FFFFFF"/>
              </a:solidFill>
            </a:ln>
            <a:effectLst/>
          </c:spPr>
        </c:marker>
        <c:dLbl>
          <c:idx val="0"/>
          <c:spPr>
            <a:solidFill>
              <a:srgbClr val="551A8B"/>
            </a:solidFill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861135714988685E-2"/>
          <c:y val="0.16457961134618398"/>
          <c:w val="0.85558458813108962"/>
          <c:h val="0.49221007679047174"/>
        </c:manualLayout>
      </c:layout>
      <c:lineChart>
        <c:grouping val="standard"/>
        <c:varyColors val="0"/>
        <c:ser>
          <c:idx val="0"/>
          <c:order val="0"/>
          <c:tx>
            <c:strRef>
              <c:f>'3  AVG PR DU'!$B$51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51A8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ysClr val="window" lastClr="FFFFFF"/>
                </a:solidFill>
              </a:ln>
              <a:effectLst/>
            </c:spPr>
          </c:marker>
          <c:dLbls>
            <c:spPr>
              <a:solidFill>
                <a:srgbClr val="551A8B"/>
              </a:solidFill>
              <a:ln>
                <a:solidFill>
                  <a:sysClr val="window" lastClr="FFFFFF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  AVG PR DU'!$A$52:$A$62</c:f>
              <c:strCache>
                <c:ptCount val="10"/>
                <c:pt idx="0">
                  <c:v>Freelancer</c:v>
                </c:pt>
                <c:pt idx="1">
                  <c:v>Full Stack Developer</c:v>
                </c:pt>
                <c:pt idx="2">
                  <c:v>Quality Assurance Manager</c:v>
                </c:pt>
                <c:pt idx="3">
                  <c:v>Consultant</c:v>
                </c:pt>
                <c:pt idx="4">
                  <c:v>Business Analyst</c:v>
                </c:pt>
                <c:pt idx="5">
                  <c:v>Cloud Architect</c:v>
                </c:pt>
                <c:pt idx="6">
                  <c:v>Designer</c:v>
                </c:pt>
                <c:pt idx="7">
                  <c:v>Finance Analyst</c:v>
                </c:pt>
                <c:pt idx="8">
                  <c:v>Sales Executive</c:v>
                </c:pt>
                <c:pt idx="9">
                  <c:v>CIO</c:v>
                </c:pt>
              </c:strCache>
            </c:strRef>
          </c:cat>
          <c:val>
            <c:numRef>
              <c:f>'3  AVG PR DU'!$B$52:$B$62</c:f>
              <c:numCache>
                <c:formatCode>General</c:formatCode>
                <c:ptCount val="10"/>
                <c:pt idx="0">
                  <c:v>104</c:v>
                </c:pt>
                <c:pt idx="1">
                  <c:v>103</c:v>
                </c:pt>
                <c:pt idx="2">
                  <c:v>100</c:v>
                </c:pt>
                <c:pt idx="3">
                  <c:v>100</c:v>
                </c:pt>
                <c:pt idx="4">
                  <c:v>99</c:v>
                </c:pt>
                <c:pt idx="5">
                  <c:v>99</c:v>
                </c:pt>
                <c:pt idx="6">
                  <c:v>98</c:v>
                </c:pt>
                <c:pt idx="7">
                  <c:v>96</c:v>
                </c:pt>
                <c:pt idx="8">
                  <c:v>95</c:v>
                </c:pt>
                <c:pt idx="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6-49B9-BE70-84C2F00F6B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3940351"/>
        <c:axId val="1616803856"/>
      </c:lineChart>
      <c:catAx>
        <c:axId val="35394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03856"/>
        <c:crosses val="autoZero"/>
        <c:auto val="1"/>
        <c:lblAlgn val="ctr"/>
        <c:lblOffset val="100"/>
        <c:noMultiLvlLbl val="0"/>
      </c:catAx>
      <c:valAx>
        <c:axId val="16168038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394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Text" lastClr="000000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ANALYSIS.xlsx]5  SESSIONS BY CITY!PivotTable6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51A8B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1491538764266"/>
          <c:y val="0.12936843754897351"/>
          <c:w val="0.8573053587826317"/>
          <c:h val="0.860680144178028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  SESSIONS BY CITY'!$E$3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  SESSIONS BY CITY'!$D$4:$D$15</c:f>
              <c:strCache>
                <c:ptCount val="11"/>
                <c:pt idx="0">
                  <c:v>Mumbai</c:v>
                </c:pt>
                <c:pt idx="1">
                  <c:v>Nashik</c:v>
                </c:pt>
                <c:pt idx="2">
                  <c:v>Bangalore</c:v>
                </c:pt>
                <c:pt idx="3">
                  <c:v>Faridabad</c:v>
                </c:pt>
                <c:pt idx="4">
                  <c:v>Calicut</c:v>
                </c:pt>
                <c:pt idx="5">
                  <c:v>Tiruppur</c:v>
                </c:pt>
                <c:pt idx="6">
                  <c:v>Delhi</c:v>
                </c:pt>
                <c:pt idx="7">
                  <c:v>Thrissur</c:v>
                </c:pt>
                <c:pt idx="8">
                  <c:v>Madurai</c:v>
                </c:pt>
                <c:pt idx="9">
                  <c:v>Vijayawada</c:v>
                </c:pt>
                <c:pt idx="10">
                  <c:v>Vadodara</c:v>
                </c:pt>
              </c:strCache>
            </c:strRef>
          </c:cat>
          <c:val>
            <c:numRef>
              <c:f>'5  SESSIONS BY CITY'!$E$4:$E$15</c:f>
              <c:numCache>
                <c:formatCode>General</c:formatCode>
                <c:ptCount val="11"/>
                <c:pt idx="0">
                  <c:v>234</c:v>
                </c:pt>
                <c:pt idx="1">
                  <c:v>234</c:v>
                </c:pt>
                <c:pt idx="2">
                  <c:v>235</c:v>
                </c:pt>
                <c:pt idx="3">
                  <c:v>236</c:v>
                </c:pt>
                <c:pt idx="4">
                  <c:v>245</c:v>
                </c:pt>
                <c:pt idx="5">
                  <c:v>251</c:v>
                </c:pt>
                <c:pt idx="6">
                  <c:v>257</c:v>
                </c:pt>
                <c:pt idx="7">
                  <c:v>258</c:v>
                </c:pt>
                <c:pt idx="8">
                  <c:v>274</c:v>
                </c:pt>
                <c:pt idx="9">
                  <c:v>288</c:v>
                </c:pt>
                <c:pt idx="10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A-486C-BEB0-CA937E9AA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353943135"/>
        <c:axId val="1616843696"/>
      </c:barChart>
      <c:catAx>
        <c:axId val="35394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43696"/>
        <c:crosses val="autoZero"/>
        <c:auto val="1"/>
        <c:lblAlgn val="ctr"/>
        <c:lblOffset val="100"/>
        <c:noMultiLvlLbl val="0"/>
      </c:catAx>
      <c:valAx>
        <c:axId val="16168436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39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73156101699409"/>
          <c:y val="0.14474337878075538"/>
          <c:w val="0.87426843898300588"/>
          <c:h val="0.855181397900015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'6  TOKENS BY CITY'!$B$39</c:f>
              <c:strCache>
                <c:ptCount val="1"/>
                <c:pt idx="0">
                  <c:v>TOTAL_TOKENS_USED</c:v>
                </c:pt>
              </c:strCache>
            </c:strRef>
          </c:tx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numFmt formatCode="0.0\ &quot;L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  TOKENS BY CITY'!$A$40:$A$49</c:f>
              <c:strCache>
                <c:ptCount val="10"/>
                <c:pt idx="0">
                  <c:v>Mumbai</c:v>
                </c:pt>
                <c:pt idx="1">
                  <c:v>Faridabad</c:v>
                </c:pt>
                <c:pt idx="2">
                  <c:v>Calicut</c:v>
                </c:pt>
                <c:pt idx="3">
                  <c:v>Nashik</c:v>
                </c:pt>
                <c:pt idx="4">
                  <c:v>Delhi</c:v>
                </c:pt>
                <c:pt idx="5">
                  <c:v>Tiruppur</c:v>
                </c:pt>
                <c:pt idx="6">
                  <c:v>Thrissur</c:v>
                </c:pt>
                <c:pt idx="7">
                  <c:v>Madurai</c:v>
                </c:pt>
                <c:pt idx="8">
                  <c:v>Vijayawada</c:v>
                </c:pt>
                <c:pt idx="9">
                  <c:v>Vadodara</c:v>
                </c:pt>
              </c:strCache>
            </c:strRef>
          </c:cat>
          <c:val>
            <c:numRef>
              <c:f>'6  TOKENS BY CITY'!$B$40:$B$49</c:f>
              <c:numCache>
                <c:formatCode>General</c:formatCode>
                <c:ptCount val="10"/>
                <c:pt idx="0">
                  <c:v>1.7087399999999999</c:v>
                </c:pt>
                <c:pt idx="1">
                  <c:v>1.7100299999999999</c:v>
                </c:pt>
                <c:pt idx="2">
                  <c:v>1.7253799999999999</c:v>
                </c:pt>
                <c:pt idx="3">
                  <c:v>1.73312</c:v>
                </c:pt>
                <c:pt idx="4">
                  <c:v>1.76667</c:v>
                </c:pt>
                <c:pt idx="5">
                  <c:v>1.8085199999999999</c:v>
                </c:pt>
                <c:pt idx="6">
                  <c:v>1.83189</c:v>
                </c:pt>
                <c:pt idx="7">
                  <c:v>2.0303200000000001</c:v>
                </c:pt>
                <c:pt idx="8">
                  <c:v>2.2155499999999999</c:v>
                </c:pt>
                <c:pt idx="9">
                  <c:v>2.7164799999999998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E-49FB-87B9-6BF57057D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314653119"/>
        <c:axId val="312868431"/>
      </c:barChart>
      <c:catAx>
        <c:axId val="31465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868431"/>
        <c:crosses val="autoZero"/>
        <c:auto val="1"/>
        <c:lblAlgn val="ctr"/>
        <c:lblOffset val="100"/>
        <c:noMultiLvlLbl val="0"/>
      </c:catAx>
      <c:valAx>
        <c:axId val="3128684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1465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ANALYSIS.xlsx]4  FAVORITE AI TOOLS BY PRO!PivotTable16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51A8B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001056763285024E-2"/>
          <c:y val="0.14602570130073655"/>
          <c:w val="0.97299894323671499"/>
          <c:h val="0.64824478921799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 FAVORITE AI TOOLS BY PRO'!$F$23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rgbClr val="551A8B"/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bg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'4  FAVORITE AI TOOLS BY PRO'!$E$24:$E$32</c:f>
              <c:strCache>
                <c:ptCount val="9"/>
                <c:pt idx="0">
                  <c:v>Copilot</c:v>
                </c:pt>
                <c:pt idx="1">
                  <c:v>Canva AI</c:v>
                </c:pt>
                <c:pt idx="2">
                  <c:v>Midjourney</c:v>
                </c:pt>
                <c:pt idx="3">
                  <c:v>Firefly</c:v>
                </c:pt>
                <c:pt idx="4">
                  <c:v>Claude</c:v>
                </c:pt>
                <c:pt idx="5">
                  <c:v>Perplexity</c:v>
                </c:pt>
                <c:pt idx="6">
                  <c:v>Grok</c:v>
                </c:pt>
                <c:pt idx="7">
                  <c:v>DeepSeek</c:v>
                </c:pt>
                <c:pt idx="8">
                  <c:v>ChatGPT</c:v>
                </c:pt>
              </c:strCache>
            </c:strRef>
          </c:cat>
          <c:val>
            <c:numRef>
              <c:f>'4  FAVORITE AI TOOLS BY PRO'!$F$24:$F$32</c:f>
              <c:numCache>
                <c:formatCode>General</c:formatCode>
                <c:ptCount val="9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F-40C0-A14B-F02340CE4A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645041472"/>
        <c:axId val="601341232"/>
      </c:barChart>
      <c:catAx>
        <c:axId val="64504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41232"/>
        <c:crosses val="autoZero"/>
        <c:auto val="1"/>
        <c:lblAlgn val="ctr"/>
        <c:lblOffset val="100"/>
        <c:noMultiLvlLbl val="0"/>
      </c:catAx>
      <c:valAx>
        <c:axId val="601341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504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 PROFESSION &amp; CITY ANALYSIS.xlsx]7  FAVORITE AI TOOL BY CITY!PivotTable22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51A8B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551A8B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00782285865818E-3"/>
          <c:y val="0.18537892421515698"/>
          <c:w val="0.99519921771413422"/>
          <c:h val="0.673048159598849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  FAVORITE AI TOOL BY CITY'!$E$3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51A8B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rgbClr val="551A8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bg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'7  FAVORITE AI TOOL BY CITY'!$D$4:$D$14</c:f>
              <c:strCache>
                <c:ptCount val="10"/>
                <c:pt idx="0">
                  <c:v>DeepSeek</c:v>
                </c:pt>
                <c:pt idx="1">
                  <c:v>Claude</c:v>
                </c:pt>
                <c:pt idx="2">
                  <c:v>Canva AI</c:v>
                </c:pt>
                <c:pt idx="3">
                  <c:v>Perplexity</c:v>
                </c:pt>
                <c:pt idx="4">
                  <c:v>Midjourney</c:v>
                </c:pt>
                <c:pt idx="5">
                  <c:v>ChatGPT</c:v>
                </c:pt>
                <c:pt idx="6">
                  <c:v>Firefly</c:v>
                </c:pt>
                <c:pt idx="7">
                  <c:v>Grok</c:v>
                </c:pt>
                <c:pt idx="8">
                  <c:v>Gemini</c:v>
                </c:pt>
                <c:pt idx="9">
                  <c:v>Copilot</c:v>
                </c:pt>
              </c:strCache>
            </c:strRef>
          </c:cat>
          <c:val>
            <c:numRef>
              <c:f>'7  FAVORITE AI TOOL BY CITY'!$E$4:$E$14</c:f>
              <c:numCache>
                <c:formatCode>General</c:formatCode>
                <c:ptCount val="10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49C-AAB2-76B22F4B11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329280"/>
        <c:axId val="646264912"/>
      </c:barChart>
      <c:catAx>
        <c:axId val="18432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64912"/>
        <c:crosses val="autoZero"/>
        <c:auto val="1"/>
        <c:lblAlgn val="ctr"/>
        <c:lblOffset val="100"/>
        <c:noMultiLvlLbl val="0"/>
      </c:catAx>
      <c:valAx>
        <c:axId val="6462649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432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121920</xdr:rowOff>
    </xdr:from>
    <xdr:to>
      <xdr:col>7</xdr:col>
      <xdr:colOff>304800</xdr:colOff>
      <xdr:row>17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8D029-8840-41B6-81F3-BE5FD91CC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91440</xdr:rowOff>
    </xdr:from>
    <xdr:to>
      <xdr:col>17</xdr:col>
      <xdr:colOff>38100</xdr:colOff>
      <xdr:row>16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C47E6C-6257-429F-B993-D4B2F280A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38100</xdr:rowOff>
    </xdr:from>
    <xdr:to>
      <xdr:col>8</xdr:col>
      <xdr:colOff>304800</xdr:colOff>
      <xdr:row>39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8CD69-0186-4A93-B117-0EA74F82A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0</xdr:row>
      <xdr:rowOff>0</xdr:rowOff>
    </xdr:from>
    <xdr:to>
      <xdr:col>21</xdr:col>
      <xdr:colOff>83820</xdr:colOff>
      <xdr:row>47</xdr:row>
      <xdr:rowOff>68580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5D83C79-D2D4-7B1D-2CB5-C5FB7972004B}"/>
            </a:ext>
          </a:extLst>
        </xdr:cNvPr>
        <xdr:cNvGrpSpPr/>
      </xdr:nvGrpSpPr>
      <xdr:grpSpPr>
        <a:xfrm>
          <a:off x="464820" y="0"/>
          <a:ext cx="12420600" cy="8663940"/>
          <a:chOff x="845820" y="38100"/>
          <a:chExt cx="12193200" cy="61056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85D175A5-1739-EB63-D49E-A99A24F04893}"/>
              </a:ext>
            </a:extLst>
          </xdr:cNvPr>
          <xdr:cNvSpPr/>
        </xdr:nvSpPr>
        <xdr:spPr>
          <a:xfrm>
            <a:off x="845820" y="38100"/>
            <a:ext cx="12193200" cy="6105600"/>
          </a:xfrm>
          <a:prstGeom prst="rect">
            <a:avLst/>
          </a:prstGeom>
          <a:solidFill>
            <a:schemeClr val="tx1"/>
          </a:solidFill>
          <a:ln>
            <a:solidFill>
              <a:schemeClr val="accent1">
                <a:shade val="15000"/>
                <a:alpha val="68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b="1">
              <a:ln>
                <a:solidFill>
                  <a:schemeClr val="bg1"/>
                </a:solidFill>
              </a:ln>
            </a:endParaRPr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CEA06C2-8B36-B396-E3B3-815B3A695248}"/>
              </a:ext>
            </a:extLst>
          </xdr:cNvPr>
          <xdr:cNvSpPr/>
        </xdr:nvSpPr>
        <xdr:spPr>
          <a:xfrm>
            <a:off x="845820" y="49842"/>
            <a:ext cx="12193200" cy="446178"/>
          </a:xfrm>
          <a:prstGeom prst="rect">
            <a:avLst/>
          </a:prstGeom>
          <a:solidFill>
            <a:srgbClr val="551A8B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b="1">
                <a:ln>
                  <a:solidFill>
                    <a:schemeClr val="bg1"/>
                  </a:solidFill>
                </a:ln>
                <a:gradFill>
                  <a:gsLst>
                    <a:gs pos="50000">
                      <a:srgbClr val="551A8B"/>
                    </a:gs>
                    <a:gs pos="60000">
                      <a:schemeClr val="bg1"/>
                    </a:gs>
                  </a:gsLst>
                  <a:lin ang="5400000" scaled="1"/>
                </a:gradFill>
                <a:latin typeface="+mj-lt"/>
              </a:rPr>
              <a:t>PROFESSION &amp; CITY ANALYSIS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2D964AC-F1A8-2DD5-8CAC-80BB45D40CB1}"/>
              </a:ext>
            </a:extLst>
          </xdr:cNvPr>
          <xdr:cNvSpPr txBox="1"/>
        </xdr:nvSpPr>
        <xdr:spPr>
          <a:xfrm>
            <a:off x="899160" y="173128"/>
            <a:ext cx="967740" cy="238352"/>
          </a:xfrm>
          <a:prstGeom prst="rect">
            <a:avLst/>
          </a:prstGeom>
          <a:no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PRIORITY -  4</a:t>
            </a: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E60D4C0C-80E6-4ADA-9D3E-E51088A3AC6B}"/>
              </a:ext>
            </a:extLst>
          </xdr:cNvPr>
          <xdr:cNvGraphicFramePr>
            <a:graphicFrameLocks/>
          </xdr:cNvGraphicFramePr>
        </xdr:nvGraphicFramePr>
        <xdr:xfrm>
          <a:off x="853440" y="519503"/>
          <a:ext cx="4008120" cy="19667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55F5644-B71A-4617-90DA-D516ACC1AF26}"/>
              </a:ext>
            </a:extLst>
          </xdr:cNvPr>
          <xdr:cNvSpPr txBox="1"/>
        </xdr:nvSpPr>
        <xdr:spPr>
          <a:xfrm>
            <a:off x="2024580" y="566469"/>
            <a:ext cx="1739700" cy="193735"/>
          </a:xfrm>
          <a:prstGeom prst="rect">
            <a:avLst/>
          </a:prstGeom>
          <a:solidFill>
            <a:srgbClr val="551A8B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SESSIONS BY PROFESSION</a:t>
            </a: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3B9B7EE5-FDC8-4317-A896-19D1819EE89B}"/>
              </a:ext>
            </a:extLst>
          </xdr:cNvPr>
          <xdr:cNvGraphicFramePr>
            <a:graphicFrameLocks/>
          </xdr:cNvGraphicFramePr>
        </xdr:nvGraphicFramePr>
        <xdr:xfrm>
          <a:off x="9044940" y="519503"/>
          <a:ext cx="3974160" cy="19664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A1C2EA23-1B45-4F28-9B86-BB47FE6AEE06}"/>
              </a:ext>
            </a:extLst>
          </xdr:cNvPr>
          <xdr:cNvSpPr txBox="1"/>
        </xdr:nvSpPr>
        <xdr:spPr>
          <a:xfrm>
            <a:off x="10386060" y="566469"/>
            <a:ext cx="1615440" cy="193735"/>
          </a:xfrm>
          <a:prstGeom prst="rect">
            <a:avLst/>
          </a:prstGeom>
          <a:solidFill>
            <a:srgbClr val="551A8B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TOKENS BY PROFESSION</a:t>
            </a:r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19C4FCBE-779B-470D-9643-2DA7BDC15B3E}"/>
              </a:ext>
            </a:extLst>
          </xdr:cNvPr>
          <xdr:cNvGraphicFramePr>
            <a:graphicFrameLocks/>
          </xdr:cNvGraphicFramePr>
        </xdr:nvGraphicFramePr>
        <xdr:xfrm>
          <a:off x="4922520" y="519503"/>
          <a:ext cx="4064400" cy="19664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62AAF7E-B6C5-4484-B4AC-0E89A1AE075D}"/>
              </a:ext>
            </a:extLst>
          </xdr:cNvPr>
          <xdr:cNvSpPr txBox="1"/>
        </xdr:nvSpPr>
        <xdr:spPr>
          <a:xfrm>
            <a:off x="5575500" y="566469"/>
            <a:ext cx="2981760" cy="193735"/>
          </a:xfrm>
          <a:prstGeom prst="rect">
            <a:avLst/>
          </a:prstGeom>
          <a:solidFill>
            <a:srgbClr val="551A8B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TOP 10 SESSION DURATION MIN BY PROFESSION</a:t>
            </a:r>
          </a:p>
        </xdr:txBody>
      </xdr:sp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F9125F58-0B80-4C4C-B255-C220BC334625}"/>
              </a:ext>
            </a:extLst>
          </xdr:cNvPr>
          <xdr:cNvGraphicFramePr>
            <a:graphicFrameLocks/>
          </xdr:cNvGraphicFramePr>
        </xdr:nvGraphicFramePr>
        <xdr:xfrm>
          <a:off x="861060" y="2515565"/>
          <a:ext cx="6098400" cy="19664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08172AE-ED8A-42B1-A47E-D4016393936B}"/>
              </a:ext>
            </a:extLst>
          </xdr:cNvPr>
          <xdr:cNvSpPr txBox="1"/>
        </xdr:nvSpPr>
        <xdr:spPr>
          <a:xfrm>
            <a:off x="2832030" y="2556660"/>
            <a:ext cx="2156460" cy="193735"/>
          </a:xfrm>
          <a:prstGeom prst="rect">
            <a:avLst/>
          </a:prstGeom>
          <a:solidFill>
            <a:srgbClr val="551A8B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TOP 10 CITIES</a:t>
            </a:r>
            <a:r>
              <a:rPr lang="en-IN" sz="1100" b="1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 BY SESSION COUNT</a:t>
            </a:r>
            <a:endParaRPr lang="en-IN" sz="1100" b="1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A913D927-8806-4C19-9390-258C214769D8}"/>
              </a:ext>
            </a:extLst>
          </xdr:cNvPr>
          <xdr:cNvGraphicFramePr>
            <a:graphicFrameLocks/>
          </xdr:cNvGraphicFramePr>
        </xdr:nvGraphicFramePr>
        <xdr:xfrm>
          <a:off x="7002780" y="2515565"/>
          <a:ext cx="6035040" cy="19664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C335C38-D5EB-4586-8099-E9889752F15D}"/>
              </a:ext>
            </a:extLst>
          </xdr:cNvPr>
          <xdr:cNvSpPr txBox="1"/>
        </xdr:nvSpPr>
        <xdr:spPr>
          <a:xfrm>
            <a:off x="9102090" y="2568402"/>
            <a:ext cx="1836420" cy="193735"/>
          </a:xfrm>
          <a:prstGeom prst="rect">
            <a:avLst/>
          </a:prstGeom>
          <a:solidFill>
            <a:srgbClr val="551A8B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TOP CITIES BY TOKEN</a:t>
            </a:r>
            <a:r>
              <a:rPr lang="en-IN" sz="1100" b="1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 USAGE</a:t>
            </a:r>
            <a:endParaRPr lang="en-IN" sz="1100" b="1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9A78A2D8-BDD3-DA11-4335-F519B6D51DE0}"/>
              </a:ext>
            </a:extLst>
          </xdr:cNvPr>
          <xdr:cNvGrpSpPr/>
        </xdr:nvGrpSpPr>
        <xdr:grpSpPr>
          <a:xfrm>
            <a:off x="861060" y="4505755"/>
            <a:ext cx="6098400" cy="1626203"/>
            <a:chOff x="9037320" y="3261360"/>
            <a:chExt cx="3974400" cy="2552400"/>
          </a:xfrm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CEDD0B4-A80E-4828-B202-CACACC9AC17B}"/>
                </a:ext>
              </a:extLst>
            </xdr:cNvPr>
            <xdr:cNvGraphicFramePr>
              <a:graphicFrameLocks/>
            </xdr:cNvGraphicFramePr>
          </xdr:nvGraphicFramePr>
          <xdr:xfrm>
            <a:off x="9037320" y="3261360"/>
            <a:ext cx="3974400" cy="2552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D49074E-A5BA-4790-8B4B-F0A8EA495FAE}"/>
                </a:ext>
              </a:extLst>
            </xdr:cNvPr>
            <xdr:cNvSpPr txBox="1"/>
          </xdr:nvSpPr>
          <xdr:spPr>
            <a:xfrm>
              <a:off x="10072168" y="3322320"/>
              <a:ext cx="1904704" cy="252331"/>
            </a:xfrm>
            <a:prstGeom prst="rect">
              <a:avLst/>
            </a:prstGeom>
            <a:solidFill>
              <a:srgbClr val="551A8B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IN" sz="1030" b="1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rPr>
                <a:t>MOST PREFERRED AI TOOL BY PROFESSION</a:t>
              </a:r>
              <a:r>
                <a:rPr lang="en-IN" sz="1030" b="1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</a:rPr>
                <a:t> COUNT</a:t>
              </a:r>
              <a:endParaRPr lang="en-IN" sz="103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7" name="Explosion: 8 Points 6">
            <a:extLst>
              <a:ext uri="{FF2B5EF4-FFF2-40B4-BE49-F238E27FC236}">
                <a16:creationId xmlns:a16="http://schemas.microsoft.com/office/drawing/2014/main" id="{962CF022-27BC-DAA7-52DF-F43C9E77ED2F}"/>
              </a:ext>
            </a:extLst>
          </xdr:cNvPr>
          <xdr:cNvSpPr/>
        </xdr:nvSpPr>
        <xdr:spPr>
          <a:xfrm>
            <a:off x="1943100" y="96808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Explosion: 8 Points 17">
            <a:extLst>
              <a:ext uri="{FF2B5EF4-FFF2-40B4-BE49-F238E27FC236}">
                <a16:creationId xmlns:a16="http://schemas.microsoft.com/office/drawing/2014/main" id="{60020B0B-A39F-4AD6-95AD-1149033C0123}"/>
              </a:ext>
            </a:extLst>
          </xdr:cNvPr>
          <xdr:cNvSpPr/>
        </xdr:nvSpPr>
        <xdr:spPr>
          <a:xfrm>
            <a:off x="10431780" y="355122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0" name="Explosion: 8 Points 19">
            <a:extLst>
              <a:ext uri="{FF2B5EF4-FFF2-40B4-BE49-F238E27FC236}">
                <a16:creationId xmlns:a16="http://schemas.microsoft.com/office/drawing/2014/main" id="{493F37C5-69C0-4ED9-A455-8634CDB37560}"/>
              </a:ext>
            </a:extLst>
          </xdr:cNvPr>
          <xdr:cNvSpPr/>
        </xdr:nvSpPr>
        <xdr:spPr>
          <a:xfrm>
            <a:off x="3215640" y="343380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7" name="Explosion: 8 Points 26">
            <a:extLst>
              <a:ext uri="{FF2B5EF4-FFF2-40B4-BE49-F238E27FC236}">
                <a16:creationId xmlns:a16="http://schemas.microsoft.com/office/drawing/2014/main" id="{F8E9E535-1F9A-4A28-AF58-54AF3BCC3BDE}"/>
              </a:ext>
            </a:extLst>
          </xdr:cNvPr>
          <xdr:cNvSpPr/>
        </xdr:nvSpPr>
        <xdr:spPr>
          <a:xfrm>
            <a:off x="10005060" y="126162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8" name="Explosion: 8 Points 27">
            <a:extLst>
              <a:ext uri="{FF2B5EF4-FFF2-40B4-BE49-F238E27FC236}">
                <a16:creationId xmlns:a16="http://schemas.microsoft.com/office/drawing/2014/main" id="{E15732BC-666E-4211-9780-3753D8DF462B}"/>
              </a:ext>
            </a:extLst>
          </xdr:cNvPr>
          <xdr:cNvSpPr/>
        </xdr:nvSpPr>
        <xdr:spPr>
          <a:xfrm>
            <a:off x="9044940" y="43971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9" name="Explosion: 8 Points 28">
            <a:extLst>
              <a:ext uri="{FF2B5EF4-FFF2-40B4-BE49-F238E27FC236}">
                <a16:creationId xmlns:a16="http://schemas.microsoft.com/office/drawing/2014/main" id="{E1EE612D-2CA6-4451-82BD-059E1E24DAB9}"/>
              </a:ext>
            </a:extLst>
          </xdr:cNvPr>
          <xdr:cNvSpPr/>
        </xdr:nvSpPr>
        <xdr:spPr>
          <a:xfrm>
            <a:off x="4671060" y="102678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0" name="Explosion: 8 Points 29">
            <a:extLst>
              <a:ext uri="{FF2B5EF4-FFF2-40B4-BE49-F238E27FC236}">
                <a16:creationId xmlns:a16="http://schemas.microsoft.com/office/drawing/2014/main" id="{71206D8B-FCF4-4D37-90A6-4C6D976EAFD2}"/>
              </a:ext>
            </a:extLst>
          </xdr:cNvPr>
          <xdr:cNvSpPr/>
        </xdr:nvSpPr>
        <xdr:spPr>
          <a:xfrm>
            <a:off x="12199620" y="343380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1" name="Explosion: 8 Points 30">
            <a:extLst>
              <a:ext uri="{FF2B5EF4-FFF2-40B4-BE49-F238E27FC236}">
                <a16:creationId xmlns:a16="http://schemas.microsoft.com/office/drawing/2014/main" id="{DBE7E102-7E89-4906-9E9F-27040DDEC551}"/>
              </a:ext>
            </a:extLst>
          </xdr:cNvPr>
          <xdr:cNvSpPr/>
        </xdr:nvSpPr>
        <xdr:spPr>
          <a:xfrm>
            <a:off x="12656820" y="73325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2" name="Explosion: 8 Points 31">
            <a:extLst>
              <a:ext uri="{FF2B5EF4-FFF2-40B4-BE49-F238E27FC236}">
                <a16:creationId xmlns:a16="http://schemas.microsoft.com/office/drawing/2014/main" id="{F2968802-269E-46C5-83EE-2BA0FFDD1ED3}"/>
              </a:ext>
            </a:extLst>
          </xdr:cNvPr>
          <xdr:cNvSpPr/>
        </xdr:nvSpPr>
        <xdr:spPr>
          <a:xfrm>
            <a:off x="11445240" y="355122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3" name="Explosion: 8 Points 32">
            <a:extLst>
              <a:ext uri="{FF2B5EF4-FFF2-40B4-BE49-F238E27FC236}">
                <a16:creationId xmlns:a16="http://schemas.microsoft.com/office/drawing/2014/main" id="{5C13056C-4A1B-4E4A-AE65-F0DEBE7DB671}"/>
              </a:ext>
            </a:extLst>
          </xdr:cNvPr>
          <xdr:cNvSpPr/>
        </xdr:nvSpPr>
        <xdr:spPr>
          <a:xfrm>
            <a:off x="5158740" y="337509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4" name="Explosion: 8 Points 33">
            <a:extLst>
              <a:ext uri="{FF2B5EF4-FFF2-40B4-BE49-F238E27FC236}">
                <a16:creationId xmlns:a16="http://schemas.microsoft.com/office/drawing/2014/main" id="{12D2D68D-A7C2-4922-8851-D22BDE9BDFEF}"/>
              </a:ext>
            </a:extLst>
          </xdr:cNvPr>
          <xdr:cNvSpPr/>
        </xdr:nvSpPr>
        <xdr:spPr>
          <a:xfrm>
            <a:off x="4160520" y="349251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5" name="Explosion: 8 Points 34">
            <a:extLst>
              <a:ext uri="{FF2B5EF4-FFF2-40B4-BE49-F238E27FC236}">
                <a16:creationId xmlns:a16="http://schemas.microsoft.com/office/drawing/2014/main" id="{3293CCA8-CEA8-48FC-8694-3AA148656602}"/>
              </a:ext>
            </a:extLst>
          </xdr:cNvPr>
          <xdr:cNvSpPr/>
        </xdr:nvSpPr>
        <xdr:spPr>
          <a:xfrm>
            <a:off x="8648700" y="319897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6" name="Explosion: 8 Points 35">
            <a:extLst>
              <a:ext uri="{FF2B5EF4-FFF2-40B4-BE49-F238E27FC236}">
                <a16:creationId xmlns:a16="http://schemas.microsoft.com/office/drawing/2014/main" id="{BB13D5AC-DFF1-44BB-9F2C-C479341AD5AD}"/>
              </a:ext>
            </a:extLst>
          </xdr:cNvPr>
          <xdr:cNvSpPr/>
        </xdr:nvSpPr>
        <xdr:spPr>
          <a:xfrm>
            <a:off x="2781300" y="102678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8" name="Explosion: 8 Points 37">
            <a:extLst>
              <a:ext uri="{FF2B5EF4-FFF2-40B4-BE49-F238E27FC236}">
                <a16:creationId xmlns:a16="http://schemas.microsoft.com/office/drawing/2014/main" id="{727ECFE4-05D2-425A-8D81-DE9E8C02AC2B}"/>
              </a:ext>
            </a:extLst>
          </xdr:cNvPr>
          <xdr:cNvSpPr/>
        </xdr:nvSpPr>
        <xdr:spPr>
          <a:xfrm>
            <a:off x="9509760" y="355122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9" name="Explosion: 8 Points 38">
            <a:extLst>
              <a:ext uri="{FF2B5EF4-FFF2-40B4-BE49-F238E27FC236}">
                <a16:creationId xmlns:a16="http://schemas.microsoft.com/office/drawing/2014/main" id="{71B7BB52-5792-4D0F-AA44-5688059EE858}"/>
              </a:ext>
            </a:extLst>
          </xdr:cNvPr>
          <xdr:cNvSpPr/>
        </xdr:nvSpPr>
        <xdr:spPr>
          <a:xfrm>
            <a:off x="10927080" y="90937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0" name="Explosion: 8 Points 39">
            <a:extLst>
              <a:ext uri="{FF2B5EF4-FFF2-40B4-BE49-F238E27FC236}">
                <a16:creationId xmlns:a16="http://schemas.microsoft.com/office/drawing/2014/main" id="{8B20A791-26DE-4812-B696-A6BFC9F04F85}"/>
              </a:ext>
            </a:extLst>
          </xdr:cNvPr>
          <xdr:cNvSpPr/>
        </xdr:nvSpPr>
        <xdr:spPr>
          <a:xfrm>
            <a:off x="11849100" y="85066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2" name="Explosion: 8 Points 41">
            <a:extLst>
              <a:ext uri="{FF2B5EF4-FFF2-40B4-BE49-F238E27FC236}">
                <a16:creationId xmlns:a16="http://schemas.microsoft.com/office/drawing/2014/main" id="{47636732-87F8-4D0E-A334-348121B2BA27}"/>
              </a:ext>
            </a:extLst>
          </xdr:cNvPr>
          <xdr:cNvSpPr/>
        </xdr:nvSpPr>
        <xdr:spPr>
          <a:xfrm>
            <a:off x="3749040" y="108549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3" name="Explosion: 8 Points 42">
            <a:extLst>
              <a:ext uri="{FF2B5EF4-FFF2-40B4-BE49-F238E27FC236}">
                <a16:creationId xmlns:a16="http://schemas.microsoft.com/office/drawing/2014/main" id="{FA997725-F137-4313-9FE1-793461CE086A}"/>
              </a:ext>
            </a:extLst>
          </xdr:cNvPr>
          <xdr:cNvSpPr/>
        </xdr:nvSpPr>
        <xdr:spPr>
          <a:xfrm>
            <a:off x="2247900" y="343380"/>
            <a:ext cx="175260" cy="123286"/>
          </a:xfrm>
          <a:prstGeom prst="irregularSeal1">
            <a:avLst/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81EFE0A5-9810-4210-8D38-E9998658C3B6}"/>
              </a:ext>
            </a:extLst>
          </xdr:cNvPr>
          <xdr:cNvGraphicFramePr>
            <a:graphicFrameLocks/>
          </xdr:cNvGraphicFramePr>
        </xdr:nvGraphicFramePr>
        <xdr:xfrm>
          <a:off x="7002780" y="4505755"/>
          <a:ext cx="6033600" cy="1625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399A64B-4DEB-4BD1-8D76-D5FE52A3E046}"/>
              </a:ext>
            </a:extLst>
          </xdr:cNvPr>
          <xdr:cNvSpPr txBox="1"/>
        </xdr:nvSpPr>
        <xdr:spPr>
          <a:xfrm>
            <a:off x="8785140" y="4564463"/>
            <a:ext cx="2468880" cy="187865"/>
          </a:xfrm>
          <a:prstGeom prst="rect">
            <a:avLst/>
          </a:prstGeom>
          <a:solidFill>
            <a:srgbClr val="551A8B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03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MOST PREFERRED AI TOOL BY CITY</a:t>
            </a:r>
            <a:r>
              <a:rPr lang="en-IN" sz="1030" b="1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 COUNT</a:t>
            </a:r>
            <a:endParaRPr lang="en-IN" sz="1030" b="1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7.495403935187" createdVersion="8" refreshedVersion="8" minRefreshableVersion="3" recordCount="10" xr:uid="{0B785AFC-4195-424F-B4F4-55B33254D97D}">
  <cacheSource type="worksheet">
    <worksheetSource name="_1_SESSIONS_BY_PROFESSION"/>
  </cacheSource>
  <cacheFields count="2">
    <cacheField name="PROFESSION" numFmtId="0">
      <sharedItems count="10">
        <s v="Software Engineer"/>
        <s v="Legal Advisor"/>
        <s v="QA Engineer"/>
        <s v="Machine Learning Engineer"/>
        <s v="CIO"/>
        <s v="Accountant"/>
        <s v="Project Manager"/>
        <s v="Product Manager"/>
        <s v="Content Writer"/>
        <s v="Data Analyst"/>
      </sharedItems>
    </cacheField>
    <cacheField name="TOTAL_SESSIONS" numFmtId="0">
      <sharedItems containsSemiMixedTypes="0" containsString="0" containsNumber="1" containsInteger="1" minValue="186" maxValue="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7.50086990741" createdVersion="8" refreshedVersion="8" minRefreshableVersion="3" recordCount="10" xr:uid="{E5190C8C-5D26-4BC4-82F2-52C71D7AD8AF}">
  <cacheSource type="worksheet">
    <worksheetSource name="_2__TOKENS_BY_PROFESSION"/>
  </cacheSource>
  <cacheFields count="2">
    <cacheField name="PEOFESSION" numFmtId="0">
      <sharedItems count="10">
        <s v="Designer"/>
        <s v="Entrepreneur"/>
        <s v="Frontend Developer"/>
        <s v="Cloud Architect"/>
        <s v="Network Engineer"/>
        <s v="Marketing Manager"/>
        <s v="Backend Developer"/>
        <s v="Freelancer"/>
        <s v="Consultant"/>
        <s v="Quality Assurance Manager"/>
      </sharedItems>
    </cacheField>
    <cacheField name="TOKEN_USED" numFmtId="0">
      <sharedItems containsSemiMixedTypes="0" containsString="0" containsNumber="1" containsInteger="1" minValue="55369" maxValue="944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7.510065277776" createdVersion="8" refreshedVersion="8" minRefreshableVersion="3" recordCount="47" xr:uid="{409F6A2C-BD4D-4432-94C8-6F31CC1D3D1E}">
  <cacheSource type="worksheet">
    <worksheetSource name="_3__AVG_PROFESSION_DURATION"/>
  </cacheSource>
  <cacheFields count="2">
    <cacheField name="PROFESSION" numFmtId="0">
      <sharedItems count="47">
        <s v="Freelancer"/>
        <s v="Full Stack Developer"/>
        <s v="Consultant"/>
        <s v="Quality Assurance Manager"/>
        <s v="Cloud Architect"/>
        <s v="Business Analyst"/>
        <s v="Designer"/>
        <s v="Finance Analyst"/>
        <s v="Sales Executive"/>
        <s v="CIO"/>
        <s v="Customer Success Manager"/>
        <s v="Management Consultant"/>
        <s v="Database Administrator"/>
        <s v="Strategy Manager"/>
        <s v="Software Engineer"/>
        <s v="Procurement Officer"/>
        <s v="Supply Chain Manager"/>
        <s v="Content Writer"/>
        <s v="Legal Advisor"/>
        <s v="Accountant"/>
        <s v="DevOps Engineer"/>
        <s v="Network Engineer"/>
        <s v="Educator"/>
        <s v="Operations Manager"/>
        <s v="Mobile Developer"/>
        <s v="Journalist"/>
        <s v="Business Development Manager"/>
        <s v="Entrepreneur"/>
        <s v="Marketing Manager"/>
        <s v="Frontend Developer"/>
        <s v="Tax Consultant"/>
        <s v="Data Analyst"/>
        <s v="QA Engineer"/>
        <s v="Security Engineer"/>
        <s v="Data Scientist"/>
        <s v="Logistics Manager"/>
        <s v="HR Manager"/>
        <s v="Support Engineer"/>
        <s v="Backend Developer"/>
        <s v="CTO"/>
        <s v="Solutions Architect"/>
        <s v="Project Manager"/>
        <s v="Systems Administrator"/>
        <s v="Product Manager"/>
        <s v="Trainer"/>
        <s v="Machine Learning Engineer"/>
        <s v="IT Manager"/>
      </sharedItems>
    </cacheField>
    <cacheField name="TOTAL_MINUTES" numFmtId="0">
      <sharedItems containsSemiMixedTypes="0" containsString="0" containsNumber="1" containsInteger="1" minValue="67" maxValue="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7.520910648149" createdVersion="8" refreshedVersion="8" minRefreshableVersion="3" recordCount="34" xr:uid="{EF159612-7678-4299-A23A-287BAC71B797}">
  <cacheSource type="worksheet">
    <worksheetSource name="_5__SESSIONS_BY_CITY"/>
  </cacheSource>
  <cacheFields count="2">
    <cacheField name="CITY" numFmtId="0">
      <sharedItems count="34">
        <s v="Vadodara"/>
        <s v="Vijayawada"/>
        <s v="Madurai"/>
        <s v="Thrissur"/>
        <s v="Delhi"/>
        <s v="Tiruppur"/>
        <s v="Calicut"/>
        <s v="Faridabad"/>
        <s v="Bangalore"/>
        <s v="Mumbai"/>
        <s v="Nashik"/>
        <s v="Chandigarh"/>
        <s v="Nagpur"/>
        <s v="Indore"/>
        <s v="Lucknow"/>
        <s v="Noida"/>
        <s v="Coimbatore"/>
        <s v="Surat"/>
        <s v="Kolkata"/>
        <s v="Ahmedabad"/>
        <s v="Pune"/>
        <s v="Hyderabad"/>
        <s v="Ludhiana"/>
        <s v="Aurangabad"/>
        <s v="Chennai"/>
        <s v="Ghaziabad"/>
        <s v="Gurgaon"/>
        <s v="Agra"/>
        <s v="Kochi"/>
        <s v="Visakhapatnam"/>
        <s v="Jaipur"/>
        <s v="Erode"/>
        <s v="Trivandrum"/>
        <s v="Salem"/>
      </sharedItems>
    </cacheField>
    <cacheField name="TOTAL_SESSIONS" numFmtId="0">
      <sharedItems containsSemiMixedTypes="0" containsString="0" containsNumber="1" containsInteger="1" minValue="157" maxValue="3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7.620332523147" createdVersion="8" refreshedVersion="8" minRefreshableVersion="3" recordCount="47" xr:uid="{99A43656-412E-44AF-B404-E6AA5B5E0E98}">
  <cacheSource type="worksheet">
    <worksheetSource name="Table4"/>
  </cacheSource>
  <cacheFields count="3">
    <cacheField name="PROFESSION" numFmtId="0">
      <sharedItems count="47">
        <s v="Accountant"/>
        <s v="Backend Developer"/>
        <s v="Business Analyst"/>
        <s v="Business Development Manager"/>
        <s v="CIO"/>
        <s v="Cloud Architect"/>
        <s v="Consultant"/>
        <s v="Content Writer"/>
        <s v="CTO"/>
        <s v="Customer Success Manager"/>
        <s v="Data Analyst"/>
        <s v="Data Scientist"/>
        <s v="Database Administrator"/>
        <s v="Designer"/>
        <s v="DevOps Engineer"/>
        <s v="Educator"/>
        <s v="Entrepreneur"/>
        <s v="Finance Analyst"/>
        <s v="Freelancer"/>
        <s v="Frontend Developer"/>
        <s v="Full Stack Developer"/>
        <s v="HR Manager"/>
        <s v="IT Manager"/>
        <s v="Journalist"/>
        <s v="Legal Advisor"/>
        <s v="Logistics Manager"/>
        <s v="Machine Learning Engineer"/>
        <s v="Management Consultant"/>
        <s v="Marketing Manager"/>
        <s v="Mobile Developer"/>
        <s v="Network Engineer"/>
        <s v="Operations Manager"/>
        <s v="Procurement Officer"/>
        <s v="Product Manager"/>
        <s v="Project Manager"/>
        <s v="QA Engineer"/>
        <s v="Quality Assurance Manager"/>
        <s v="Sales Executive"/>
        <s v="Security Engineer"/>
        <s v="Software Engineer"/>
        <s v="Solutions Architect"/>
        <s v="Strategy Manager"/>
        <s v="Supply Chain Manager"/>
        <s v="Support Engineer"/>
        <s v="Systems Administrator"/>
        <s v="Tax Consultant"/>
        <s v="Trainer"/>
      </sharedItems>
    </cacheField>
    <cacheField name="FAVORITE_TOOL" numFmtId="0">
      <sharedItems count="9">
        <s v="Perplexity"/>
        <s v="Midjourney"/>
        <s v="Copilot"/>
        <s v="Canva AI"/>
        <s v="Grok"/>
        <s v="Firefly"/>
        <s v="Claude"/>
        <s v="ChatGPT"/>
        <s v="DeepSeek"/>
      </sharedItems>
    </cacheField>
    <cacheField name="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7.658451620373" createdVersion="8" refreshedVersion="8" minRefreshableVersion="3" recordCount="34" xr:uid="{05671FB4-3CAF-4857-B1CD-C0AE6AFF7320}">
  <cacheSource type="worksheet">
    <worksheetSource name="Table7"/>
  </cacheSource>
  <cacheFields count="2">
    <cacheField name="CITY" numFmtId="0">
      <sharedItems count="34">
        <s v="Agra"/>
        <s v="Ahmedabad"/>
        <s v="Aurangabad"/>
        <s v="Bangalore"/>
        <s v="Calicut"/>
        <s v="Chandigarh"/>
        <s v="Chennai"/>
        <s v="Coimbatore"/>
        <s v="Delhi"/>
        <s v="Erode"/>
        <s v="Faridabad"/>
        <s v="Ghaziabad"/>
        <s v="Gurgaon"/>
        <s v="Hyderabad"/>
        <s v="Indore"/>
        <s v="Jaipur"/>
        <s v="Kochi"/>
        <s v="Kolkata"/>
        <s v="Lucknow"/>
        <s v="Ludhiana"/>
        <s v="Madurai"/>
        <s v="Mumbai"/>
        <s v="Nagpur"/>
        <s v="Nashik"/>
        <s v="Noida"/>
        <s v="Pune"/>
        <s v="Salem"/>
        <s v="Surat"/>
        <s v="Thrissur"/>
        <s v="Tiruppur"/>
        <s v="Trivandrum"/>
        <s v="Vadodara"/>
        <s v="Vijayawada"/>
        <s v="Visakhapatnam"/>
      </sharedItems>
    </cacheField>
    <cacheField name="FAVORITE_TOOL" numFmtId="0">
      <sharedItems count="10">
        <s v="DeepSeek"/>
        <s v="Grok"/>
        <s v="Firefly"/>
        <s v="Perplexity"/>
        <s v="Midjourney"/>
        <s v="Gemini"/>
        <s v="Copilot"/>
        <s v="Claude"/>
        <s v="ChatGPT"/>
        <s v="Canva 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04"/>
  </r>
  <r>
    <x v="1"/>
    <n v="203"/>
  </r>
  <r>
    <x v="2"/>
    <n v="202"/>
  </r>
  <r>
    <x v="3"/>
    <n v="199"/>
  </r>
  <r>
    <x v="4"/>
    <n v="195"/>
  </r>
  <r>
    <x v="5"/>
    <n v="192"/>
  </r>
  <r>
    <x v="6"/>
    <n v="192"/>
  </r>
  <r>
    <x v="7"/>
    <n v="188"/>
  </r>
  <r>
    <x v="8"/>
    <n v="187"/>
  </r>
  <r>
    <x v="9"/>
    <n v="1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4424"/>
  </r>
  <r>
    <x v="1"/>
    <n v="93777"/>
  </r>
  <r>
    <x v="2"/>
    <n v="91036"/>
  </r>
  <r>
    <x v="3"/>
    <n v="86453"/>
  </r>
  <r>
    <x v="4"/>
    <n v="85532"/>
  </r>
  <r>
    <x v="5"/>
    <n v="83941"/>
  </r>
  <r>
    <x v="6"/>
    <n v="81288"/>
  </r>
  <r>
    <x v="7"/>
    <n v="79762"/>
  </r>
  <r>
    <x v="8"/>
    <n v="73925"/>
  </r>
  <r>
    <x v="9"/>
    <n v="553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n v="104"/>
  </r>
  <r>
    <x v="1"/>
    <n v="103"/>
  </r>
  <r>
    <x v="2"/>
    <n v="100"/>
  </r>
  <r>
    <x v="3"/>
    <n v="100"/>
  </r>
  <r>
    <x v="4"/>
    <n v="99"/>
  </r>
  <r>
    <x v="5"/>
    <n v="99"/>
  </r>
  <r>
    <x v="6"/>
    <n v="98"/>
  </r>
  <r>
    <x v="7"/>
    <n v="96"/>
  </r>
  <r>
    <x v="8"/>
    <n v="95"/>
  </r>
  <r>
    <x v="9"/>
    <n v="95"/>
  </r>
  <r>
    <x v="10"/>
    <n v="94"/>
  </r>
  <r>
    <x v="11"/>
    <n v="94"/>
  </r>
  <r>
    <x v="12"/>
    <n v="94"/>
  </r>
  <r>
    <x v="13"/>
    <n v="92"/>
  </r>
  <r>
    <x v="14"/>
    <n v="92"/>
  </r>
  <r>
    <x v="15"/>
    <n v="91"/>
  </r>
  <r>
    <x v="16"/>
    <n v="90"/>
  </r>
  <r>
    <x v="17"/>
    <n v="89"/>
  </r>
  <r>
    <x v="18"/>
    <n v="89"/>
  </r>
  <r>
    <x v="19"/>
    <n v="88"/>
  </r>
  <r>
    <x v="20"/>
    <n v="88"/>
  </r>
  <r>
    <x v="21"/>
    <n v="88"/>
  </r>
  <r>
    <x v="22"/>
    <n v="87"/>
  </r>
  <r>
    <x v="23"/>
    <n v="87"/>
  </r>
  <r>
    <x v="24"/>
    <n v="86"/>
  </r>
  <r>
    <x v="25"/>
    <n v="85"/>
  </r>
  <r>
    <x v="26"/>
    <n v="84"/>
  </r>
  <r>
    <x v="27"/>
    <n v="84"/>
  </r>
  <r>
    <x v="28"/>
    <n v="84"/>
  </r>
  <r>
    <x v="29"/>
    <n v="84"/>
  </r>
  <r>
    <x v="30"/>
    <n v="84"/>
  </r>
  <r>
    <x v="31"/>
    <n v="83"/>
  </r>
  <r>
    <x v="32"/>
    <n v="83"/>
  </r>
  <r>
    <x v="33"/>
    <n v="83"/>
  </r>
  <r>
    <x v="34"/>
    <n v="83"/>
  </r>
  <r>
    <x v="35"/>
    <n v="83"/>
  </r>
  <r>
    <x v="36"/>
    <n v="81"/>
  </r>
  <r>
    <x v="37"/>
    <n v="79"/>
  </r>
  <r>
    <x v="38"/>
    <n v="79"/>
  </r>
  <r>
    <x v="39"/>
    <n v="78"/>
  </r>
  <r>
    <x v="40"/>
    <n v="76"/>
  </r>
  <r>
    <x v="41"/>
    <n v="76"/>
  </r>
  <r>
    <x v="42"/>
    <n v="75"/>
  </r>
  <r>
    <x v="43"/>
    <n v="74"/>
  </r>
  <r>
    <x v="44"/>
    <n v="73"/>
  </r>
  <r>
    <x v="45"/>
    <n v="72"/>
  </r>
  <r>
    <x v="46"/>
    <n v="6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381"/>
  </r>
  <r>
    <x v="1"/>
    <n v="288"/>
  </r>
  <r>
    <x v="2"/>
    <n v="274"/>
  </r>
  <r>
    <x v="3"/>
    <n v="258"/>
  </r>
  <r>
    <x v="4"/>
    <n v="257"/>
  </r>
  <r>
    <x v="5"/>
    <n v="251"/>
  </r>
  <r>
    <x v="6"/>
    <n v="245"/>
  </r>
  <r>
    <x v="7"/>
    <n v="236"/>
  </r>
  <r>
    <x v="8"/>
    <n v="235"/>
  </r>
  <r>
    <x v="9"/>
    <n v="234"/>
  </r>
  <r>
    <x v="10"/>
    <n v="234"/>
  </r>
  <r>
    <x v="11"/>
    <n v="233"/>
  </r>
  <r>
    <x v="12"/>
    <n v="227"/>
  </r>
  <r>
    <x v="13"/>
    <n v="224"/>
  </r>
  <r>
    <x v="14"/>
    <n v="224"/>
  </r>
  <r>
    <x v="15"/>
    <n v="224"/>
  </r>
  <r>
    <x v="16"/>
    <n v="223"/>
  </r>
  <r>
    <x v="17"/>
    <n v="216"/>
  </r>
  <r>
    <x v="18"/>
    <n v="215"/>
  </r>
  <r>
    <x v="19"/>
    <n v="211"/>
  </r>
  <r>
    <x v="20"/>
    <n v="211"/>
  </r>
  <r>
    <x v="21"/>
    <n v="206"/>
  </r>
  <r>
    <x v="22"/>
    <n v="206"/>
  </r>
  <r>
    <x v="23"/>
    <n v="198"/>
  </r>
  <r>
    <x v="24"/>
    <n v="197"/>
  </r>
  <r>
    <x v="25"/>
    <n v="195"/>
  </r>
  <r>
    <x v="26"/>
    <n v="186"/>
  </r>
  <r>
    <x v="27"/>
    <n v="184"/>
  </r>
  <r>
    <x v="28"/>
    <n v="180"/>
  </r>
  <r>
    <x v="29"/>
    <n v="179"/>
  </r>
  <r>
    <x v="30"/>
    <n v="177"/>
  </r>
  <r>
    <x v="31"/>
    <n v="168"/>
  </r>
  <r>
    <x v="32"/>
    <n v="166"/>
  </r>
  <r>
    <x v="33"/>
    <n v="15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n v="1"/>
  </r>
  <r>
    <x v="1"/>
    <x v="1"/>
    <n v="1"/>
  </r>
  <r>
    <x v="2"/>
    <x v="2"/>
    <n v="1"/>
  </r>
  <r>
    <x v="3"/>
    <x v="3"/>
    <n v="1"/>
  </r>
  <r>
    <x v="4"/>
    <x v="3"/>
    <n v="1"/>
  </r>
  <r>
    <x v="5"/>
    <x v="1"/>
    <n v="1"/>
  </r>
  <r>
    <x v="6"/>
    <x v="2"/>
    <n v="1"/>
  </r>
  <r>
    <x v="7"/>
    <x v="2"/>
    <n v="1"/>
  </r>
  <r>
    <x v="8"/>
    <x v="2"/>
    <n v="1"/>
  </r>
  <r>
    <x v="9"/>
    <x v="1"/>
    <n v="1"/>
  </r>
  <r>
    <x v="10"/>
    <x v="3"/>
    <n v="1"/>
  </r>
  <r>
    <x v="11"/>
    <x v="4"/>
    <n v="1"/>
  </r>
  <r>
    <x v="12"/>
    <x v="3"/>
    <n v="1"/>
  </r>
  <r>
    <x v="13"/>
    <x v="4"/>
    <n v="1"/>
  </r>
  <r>
    <x v="14"/>
    <x v="2"/>
    <n v="1"/>
  </r>
  <r>
    <x v="15"/>
    <x v="5"/>
    <n v="1"/>
  </r>
  <r>
    <x v="16"/>
    <x v="3"/>
    <n v="1"/>
  </r>
  <r>
    <x v="17"/>
    <x v="6"/>
    <n v="1"/>
  </r>
  <r>
    <x v="18"/>
    <x v="7"/>
    <n v="1"/>
  </r>
  <r>
    <x v="19"/>
    <x v="0"/>
    <n v="1"/>
  </r>
  <r>
    <x v="20"/>
    <x v="5"/>
    <n v="1"/>
  </r>
  <r>
    <x v="21"/>
    <x v="2"/>
    <n v="1"/>
  </r>
  <r>
    <x v="22"/>
    <x v="0"/>
    <n v="1"/>
  </r>
  <r>
    <x v="23"/>
    <x v="7"/>
    <n v="1"/>
  </r>
  <r>
    <x v="24"/>
    <x v="8"/>
    <n v="1"/>
  </r>
  <r>
    <x v="25"/>
    <x v="6"/>
    <n v="1"/>
  </r>
  <r>
    <x v="26"/>
    <x v="4"/>
    <n v="1"/>
  </r>
  <r>
    <x v="27"/>
    <x v="8"/>
    <n v="1"/>
  </r>
  <r>
    <x v="28"/>
    <x v="2"/>
    <n v="1"/>
  </r>
  <r>
    <x v="29"/>
    <x v="2"/>
    <n v="1"/>
  </r>
  <r>
    <x v="30"/>
    <x v="1"/>
    <n v="1"/>
  </r>
  <r>
    <x v="31"/>
    <x v="3"/>
    <n v="1"/>
  </r>
  <r>
    <x v="32"/>
    <x v="1"/>
    <n v="1"/>
  </r>
  <r>
    <x v="33"/>
    <x v="6"/>
    <n v="1"/>
  </r>
  <r>
    <x v="34"/>
    <x v="5"/>
    <n v="1"/>
  </r>
  <r>
    <x v="35"/>
    <x v="5"/>
    <n v="1"/>
  </r>
  <r>
    <x v="36"/>
    <x v="8"/>
    <n v="1"/>
  </r>
  <r>
    <x v="37"/>
    <x v="3"/>
    <n v="1"/>
  </r>
  <r>
    <x v="38"/>
    <x v="6"/>
    <n v="1"/>
  </r>
  <r>
    <x v="39"/>
    <x v="0"/>
    <n v="1"/>
  </r>
  <r>
    <x v="40"/>
    <x v="4"/>
    <n v="1"/>
  </r>
  <r>
    <x v="41"/>
    <x v="6"/>
    <n v="1"/>
  </r>
  <r>
    <x v="42"/>
    <x v="5"/>
    <n v="1"/>
  </r>
  <r>
    <x v="43"/>
    <x v="3"/>
    <n v="1"/>
  </r>
  <r>
    <x v="44"/>
    <x v="1"/>
    <n v="1"/>
  </r>
  <r>
    <x v="45"/>
    <x v="5"/>
    <n v="1"/>
  </r>
  <r>
    <x v="46"/>
    <x v="0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</r>
  <r>
    <x v="1"/>
    <x v="0"/>
  </r>
  <r>
    <x v="2"/>
    <x v="1"/>
  </r>
  <r>
    <x v="3"/>
    <x v="2"/>
  </r>
  <r>
    <x v="4"/>
    <x v="3"/>
  </r>
  <r>
    <x v="5"/>
    <x v="4"/>
  </r>
  <r>
    <x v="6"/>
    <x v="5"/>
  </r>
  <r>
    <x v="7"/>
    <x v="6"/>
  </r>
  <r>
    <x v="8"/>
    <x v="0"/>
  </r>
  <r>
    <x v="9"/>
    <x v="0"/>
  </r>
  <r>
    <x v="10"/>
    <x v="3"/>
  </r>
  <r>
    <x v="11"/>
    <x v="4"/>
  </r>
  <r>
    <x v="12"/>
    <x v="0"/>
  </r>
  <r>
    <x v="13"/>
    <x v="2"/>
  </r>
  <r>
    <x v="14"/>
    <x v="0"/>
  </r>
  <r>
    <x v="15"/>
    <x v="7"/>
  </r>
  <r>
    <x v="16"/>
    <x v="8"/>
  </r>
  <r>
    <x v="17"/>
    <x v="8"/>
  </r>
  <r>
    <x v="18"/>
    <x v="9"/>
  </r>
  <r>
    <x v="19"/>
    <x v="5"/>
  </r>
  <r>
    <x v="20"/>
    <x v="7"/>
  </r>
  <r>
    <x v="21"/>
    <x v="1"/>
  </r>
  <r>
    <x v="22"/>
    <x v="0"/>
  </r>
  <r>
    <x v="23"/>
    <x v="9"/>
  </r>
  <r>
    <x v="24"/>
    <x v="9"/>
  </r>
  <r>
    <x v="25"/>
    <x v="9"/>
  </r>
  <r>
    <x v="26"/>
    <x v="7"/>
  </r>
  <r>
    <x v="27"/>
    <x v="4"/>
  </r>
  <r>
    <x v="28"/>
    <x v="2"/>
  </r>
  <r>
    <x v="29"/>
    <x v="7"/>
  </r>
  <r>
    <x v="30"/>
    <x v="0"/>
  </r>
  <r>
    <x v="31"/>
    <x v="0"/>
  </r>
  <r>
    <x v="32"/>
    <x v="8"/>
  </r>
  <r>
    <x v="3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B01CE-7029-4430-A821-55AA4489F6C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5:B26" firstHeaderRow="1" firstDataRow="1" firstDataCol="1"/>
  <pivotFields count="2">
    <pivotField axis="axisRow" showAll="0" sortType="ascending">
      <items count="11">
        <item x="5"/>
        <item x="4"/>
        <item x="8"/>
        <item x="9"/>
        <item x="1"/>
        <item x="3"/>
        <item x="7"/>
        <item x="6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3"/>
    </i>
    <i>
      <x v="2"/>
    </i>
    <i>
      <x v="6"/>
    </i>
    <i>
      <x/>
    </i>
    <i>
      <x v="7"/>
    </i>
    <i>
      <x v="1"/>
    </i>
    <i>
      <x v="5"/>
    </i>
    <i>
      <x v="8"/>
    </i>
    <i>
      <x v="4"/>
    </i>
    <i>
      <x v="9"/>
    </i>
    <i t="grand">
      <x/>
    </i>
  </rowItems>
  <colItems count="1">
    <i/>
  </colItems>
  <dataFields count="1">
    <dataField name="Sum of TOTAL_SESSIONS" fld="1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0A85D-F33D-4461-82E3-BA5A4241847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5:B26" firstHeaderRow="1" firstDataRow="1" firstDataCol="1"/>
  <pivotFields count="2">
    <pivotField axis="axisRow" showAll="0" sortType="ascending">
      <items count="11">
        <item x="6"/>
        <item x="3"/>
        <item x="8"/>
        <item x="0"/>
        <item x="1"/>
        <item x="7"/>
        <item x="2"/>
        <item x="5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9"/>
    </i>
    <i>
      <x v="2"/>
    </i>
    <i>
      <x v="5"/>
    </i>
    <i>
      <x/>
    </i>
    <i>
      <x v="7"/>
    </i>
    <i>
      <x v="8"/>
    </i>
    <i>
      <x v="1"/>
    </i>
    <i>
      <x v="6"/>
    </i>
    <i>
      <x v="4"/>
    </i>
    <i>
      <x v="3"/>
    </i>
    <i t="grand">
      <x/>
    </i>
  </rowItems>
  <colItems count="1">
    <i/>
  </colItems>
  <dataFields count="1">
    <dataField name="Sum of TOKEN_USED" fld="1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7C585-1594-451B-9E96-DD5967F3038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51:B62" firstHeaderRow="1" firstDataRow="1" firstDataCol="1"/>
  <pivotFields count="2">
    <pivotField axis="axisRow" showAll="0" measureFilter="1" sortType="descending">
      <items count="48">
        <item x="19"/>
        <item x="38"/>
        <item x="5"/>
        <item x="26"/>
        <item x="9"/>
        <item x="4"/>
        <item x="2"/>
        <item x="17"/>
        <item x="39"/>
        <item x="10"/>
        <item x="31"/>
        <item x="34"/>
        <item x="12"/>
        <item x="6"/>
        <item x="20"/>
        <item x="22"/>
        <item x="27"/>
        <item x="7"/>
        <item x="0"/>
        <item x="29"/>
        <item x="1"/>
        <item x="36"/>
        <item x="46"/>
        <item x="25"/>
        <item x="18"/>
        <item x="35"/>
        <item x="45"/>
        <item x="11"/>
        <item x="28"/>
        <item x="24"/>
        <item x="21"/>
        <item x="23"/>
        <item x="15"/>
        <item x="43"/>
        <item x="41"/>
        <item x="32"/>
        <item x="3"/>
        <item x="8"/>
        <item x="33"/>
        <item x="14"/>
        <item x="40"/>
        <item x="13"/>
        <item x="16"/>
        <item x="37"/>
        <item x="42"/>
        <item x="30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18"/>
    </i>
    <i>
      <x v="20"/>
    </i>
    <i>
      <x v="36"/>
    </i>
    <i>
      <x v="6"/>
    </i>
    <i>
      <x v="2"/>
    </i>
    <i>
      <x v="5"/>
    </i>
    <i>
      <x v="13"/>
    </i>
    <i>
      <x v="17"/>
    </i>
    <i>
      <x v="37"/>
    </i>
    <i>
      <x v="4"/>
    </i>
    <i t="grand">
      <x/>
    </i>
  </rowItems>
  <colItems count="1">
    <i/>
  </colItems>
  <dataFields count="1">
    <dataField name="Sum of TOTAL_MINUTES" fld="1" baseField="0" baseItem="0"/>
  </dataField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EB294-F742-4B46-8957-7D42CE748DFD}" name="PivotTable1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E23:F32" firstHeaderRow="1" firstDataRow="1" firstDataCol="1"/>
  <pivotFields count="3">
    <pivotField compact="0" outline="0" showAll="0" defaultSubtota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9">
        <item x="3"/>
        <item x="7"/>
        <item x="6"/>
        <item x="2"/>
        <item x="8"/>
        <item x="5"/>
        <item x="4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9">
    <i>
      <x v="3"/>
    </i>
    <i>
      <x/>
    </i>
    <i>
      <x v="7"/>
    </i>
    <i>
      <x v="5"/>
    </i>
    <i>
      <x v="2"/>
    </i>
    <i>
      <x v="8"/>
    </i>
    <i>
      <x v="6"/>
    </i>
    <i>
      <x v="4"/>
    </i>
    <i>
      <x v="1"/>
    </i>
  </rowItems>
  <colItems count="1">
    <i/>
  </colItems>
  <dataFields count="1">
    <dataField name="Sum of COUNT" fld="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5DB62-ED46-49BC-A2A2-F8C8FD2A7879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3:E15" firstHeaderRow="1" firstDataRow="1" firstDataCol="1"/>
  <pivotFields count="2">
    <pivotField axis="axisRow" showAll="0" measureFilter="1" sortType="ascending">
      <items count="35">
        <item x="27"/>
        <item x="19"/>
        <item x="23"/>
        <item x="8"/>
        <item x="6"/>
        <item x="11"/>
        <item x="24"/>
        <item x="16"/>
        <item x="4"/>
        <item x="31"/>
        <item x="7"/>
        <item x="25"/>
        <item x="26"/>
        <item x="21"/>
        <item x="13"/>
        <item x="30"/>
        <item x="28"/>
        <item x="18"/>
        <item x="14"/>
        <item x="22"/>
        <item x="2"/>
        <item x="9"/>
        <item x="12"/>
        <item x="10"/>
        <item x="15"/>
        <item x="20"/>
        <item x="33"/>
        <item x="17"/>
        <item x="3"/>
        <item x="5"/>
        <item x="32"/>
        <item x="0"/>
        <item x="1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">
    <i>
      <x v="21"/>
    </i>
    <i>
      <x v="23"/>
    </i>
    <i>
      <x v="3"/>
    </i>
    <i>
      <x v="10"/>
    </i>
    <i>
      <x v="4"/>
    </i>
    <i>
      <x v="29"/>
    </i>
    <i>
      <x v="8"/>
    </i>
    <i>
      <x v="28"/>
    </i>
    <i>
      <x v="20"/>
    </i>
    <i>
      <x v="32"/>
    </i>
    <i>
      <x v="31"/>
    </i>
    <i t="grand">
      <x/>
    </i>
  </rowItems>
  <colItems count="1">
    <i/>
  </colItems>
  <dataFields count="1">
    <dataField name="Sum of TOTAL_SESSIONS" fld="1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0C118-8407-499C-9447-72E93230EF40}" name="PivotTable2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3:E14" firstHeaderRow="1" firstDataRow="1" firstDataCol="1"/>
  <pivotFields count="2">
    <pivotField dataField="1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showAll="0" sortType="descending">
      <items count="11">
        <item x="9"/>
        <item x="8"/>
        <item x="7"/>
        <item x="6"/>
        <item x="0"/>
        <item x="2"/>
        <item x="5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4"/>
    </i>
    <i>
      <x v="2"/>
    </i>
    <i>
      <x/>
    </i>
    <i>
      <x v="9"/>
    </i>
    <i>
      <x v="8"/>
    </i>
    <i>
      <x v="1"/>
    </i>
    <i>
      <x v="5"/>
    </i>
    <i>
      <x v="7"/>
    </i>
    <i>
      <x v="6"/>
    </i>
    <i>
      <x v="3"/>
    </i>
    <i t="grand">
      <x/>
    </i>
  </rowItems>
  <colItems count="1">
    <i/>
  </colItems>
  <dataFields count="1">
    <dataField name="Count of CITY" fld="0" subtotal="count" baseField="0" baseItem="0"/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C7AD83-D996-4611-8675-410B5E83F6A8}" autoFormatId="16" applyNumberFormats="0" applyBorderFormats="0" applyFontFormats="0" applyPatternFormats="0" applyAlignmentFormats="0" applyWidthHeightFormats="0">
  <queryTableRefresh nextId="3">
    <queryTableFields count="2">
      <queryTableField id="1" name="PROFESSION" tableColumnId="1"/>
      <queryTableField id="2" name="TOTAL_SESSION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10CCDF5-656B-4766-873D-E5B13D085DCF}" autoFormatId="16" applyNumberFormats="0" applyBorderFormats="0" applyFontFormats="0" applyPatternFormats="0" applyAlignmentFormats="0" applyWidthHeightFormats="0">
  <queryTableRefresh nextId="3">
    <queryTableFields count="2">
      <queryTableField id="1" name="PEOFESSION" tableColumnId="1"/>
      <queryTableField id="2" name="TOKEN_USE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FFB068-C7FB-4433-8513-01D4A9DF864F}" autoFormatId="16" applyNumberFormats="0" applyBorderFormats="0" applyFontFormats="0" applyPatternFormats="0" applyAlignmentFormats="0" applyWidthHeightFormats="0">
  <queryTableRefresh nextId="3">
    <queryTableFields count="2">
      <queryTableField id="1" name="PROFESSION" tableColumnId="1"/>
      <queryTableField id="2" name="TOTAL_MINUT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9D7FF96-63F4-45C5-9402-D34748EF46DF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_SESSION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A6C2957-5B99-42C6-8986-F62DBBDDC9C1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_TOKENS_USE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357B8-A8AF-4359-92BA-F1938D149D04}" name="_1_SESSIONS_BY_PROFESSION" displayName="_1_SESSIONS_BY_PROFESSION" ref="A1:B11" tableType="queryTable" totalsRowShown="0">
  <autoFilter ref="A1:B11" xr:uid="{87F357B8-A8AF-4359-92BA-F1938D149D04}"/>
  <tableColumns count="2">
    <tableColumn id="1" xr3:uid="{FEFDF197-7D55-45A5-98CC-B7BA37025781}" uniqueName="1" name="PROFESSION" queryTableFieldId="1" dataDxfId="15"/>
    <tableColumn id="2" xr3:uid="{63C34AED-B72D-43CE-9D87-1B3B08B6E3EC}" uniqueName="2" name="TOTAL_SESSION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3ACC83-832D-4AA2-8E93-71D3F2476D60}" name="_2__TOKENS_BY_PROFESSION" displayName="_2__TOKENS_BY_PROFESSION" ref="A1:B11" tableType="queryTable" totalsRowShown="0">
  <autoFilter ref="A1:B11" xr:uid="{D23ACC83-832D-4AA2-8E93-71D3F2476D60}"/>
  <sortState xmlns:xlrd2="http://schemas.microsoft.com/office/spreadsheetml/2017/richdata2" ref="A2:B11">
    <sortCondition descending="1" ref="B2:B11"/>
  </sortState>
  <tableColumns count="2">
    <tableColumn id="1" xr3:uid="{01171A37-3C94-4DE2-B4AD-3F3F7BA80482}" uniqueName="1" name="PEOFESSION" queryTableFieldId="1" dataDxfId="14"/>
    <tableColumn id="2" xr3:uid="{C394C0CA-0A22-41AB-8214-CE97671A45B6}" uniqueName="2" name="TOKEN_USE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47BC4-64DC-4E76-8A69-4D44201D2A29}" name="_3__AVG_PROFESSION_DURATION" displayName="_3__AVG_PROFESSION_DURATION" ref="A1:B48" tableType="queryTable" totalsRowShown="0">
  <autoFilter ref="A1:B48" xr:uid="{A8B47BC4-64DC-4E76-8A69-4D44201D2A29}">
    <filterColumn colId="1">
      <top10 val="10" filterVal="95"/>
    </filterColumn>
  </autoFilter>
  <tableColumns count="2">
    <tableColumn id="1" xr3:uid="{83608C93-ECC4-4CA5-BE1A-A47926AF9C43}" uniqueName="1" name="PROFESSION" queryTableFieldId="1" dataDxfId="13"/>
    <tableColumn id="2" xr3:uid="{03AA7095-2B23-44E2-A3AF-6E0B5ED7D929}" uniqueName="2" name="TOTAL_MINUT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AB0845-45DB-446A-A489-E7C4EDE37817}" name="Table4" displayName="Table4" ref="A1:C48" totalsRowShown="0" headerRowDxfId="12" dataDxfId="11" tableBorderDxfId="10">
  <autoFilter ref="A1:C48" xr:uid="{FAAB0845-45DB-446A-A489-E7C4EDE37817}"/>
  <tableColumns count="3">
    <tableColumn id="1" xr3:uid="{7EAC8A85-4129-4412-862A-FBC8900316D3}" name="PROFESSION" dataDxfId="9"/>
    <tableColumn id="2" xr3:uid="{C2D4DEBA-8BD3-45F4-9BA9-342576991F72}" name="FAVORITE_TOOL" dataDxfId="8"/>
    <tableColumn id="3" xr3:uid="{DA27CFEE-89EC-4C66-8BDF-E96AEA75261D}" name="COUNT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8084F1-8F63-4493-B985-C30A5B6246F6}" name="_5__SESSIONS_BY_CITY" displayName="_5__SESSIONS_BY_CITY" ref="A1:B35" tableType="queryTable" totalsRowShown="0">
  <autoFilter ref="A1:B35" xr:uid="{958084F1-8F63-4493-B985-C30A5B6246F6}"/>
  <tableColumns count="2">
    <tableColumn id="1" xr3:uid="{90E163EB-D136-4E53-9E6B-3829B7220868}" uniqueName="1" name="CITY" queryTableFieldId="1" dataDxfId="6"/>
    <tableColumn id="2" xr3:uid="{77EBEA88-CF26-4788-9536-FD1428087D70}" uniqueName="2" name="TOTAL_SESSION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724333-6D91-46E4-8180-B424D106535D}" name="_6__TOKENS_BY_CITY" displayName="_6__TOKENS_BY_CITY" ref="A1:B35" tableType="queryTable" totalsRowShown="0">
  <autoFilter ref="A1:B35" xr:uid="{B9724333-6D91-46E4-8180-B424D106535D}">
    <filterColumn colId="1">
      <top10 val="10" filterVal="170874"/>
    </filterColumn>
  </autoFilter>
  <sortState xmlns:xlrd2="http://schemas.microsoft.com/office/spreadsheetml/2017/richdata2" ref="A2:B11">
    <sortCondition ref="B2:B35"/>
  </sortState>
  <tableColumns count="2">
    <tableColumn id="1" xr3:uid="{D095AE6C-7E42-4FEB-AD90-E20B677E6C16}" uniqueName="1" name="CITY" queryTableFieldId="1" dataDxfId="5"/>
    <tableColumn id="2" xr3:uid="{2E650C84-0357-43C3-A2AD-CE21F72823C0}" uniqueName="2" name="TOTAL_TOKENS_USED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7958C8-AAE8-4591-BC99-21352FAC0385}" name="Table7" displayName="Table7" ref="A1:B35" totalsRowShown="0" headerRowDxfId="4" dataDxfId="3" tableBorderDxfId="2">
  <autoFilter ref="A1:B35" xr:uid="{727958C8-AAE8-4591-BC99-21352FAC0385}"/>
  <tableColumns count="2">
    <tableColumn id="1" xr3:uid="{29FAAC9C-FE98-4C33-B78E-1D2F238E73B2}" name="CITY" dataDxfId="1"/>
    <tableColumn id="2" xr3:uid="{3F960975-8FE4-42C5-AF79-5F1CB21384CC}" name="FAVORITE_TOO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678B-5C5A-4638-A9B2-2B064786AC1F}">
  <dimension ref="A1:B26"/>
  <sheetViews>
    <sheetView workbookViewId="0">
      <selection activeCell="N4" sqref="N4"/>
    </sheetView>
  </sheetViews>
  <sheetFormatPr defaultRowHeight="14.4" x14ac:dyDescent="0.3"/>
  <cols>
    <col min="1" max="1" width="22.77734375" bestFit="1" customWidth="1"/>
    <col min="2" max="2" width="2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204</v>
      </c>
    </row>
    <row r="3" spans="1:2" x14ac:dyDescent="0.3">
      <c r="A3" t="s">
        <v>3</v>
      </c>
      <c r="B3">
        <v>203</v>
      </c>
    </row>
    <row r="4" spans="1:2" x14ac:dyDescent="0.3">
      <c r="A4" t="s">
        <v>4</v>
      </c>
      <c r="B4">
        <v>202</v>
      </c>
    </row>
    <row r="5" spans="1:2" x14ac:dyDescent="0.3">
      <c r="A5" t="s">
        <v>5</v>
      </c>
      <c r="B5">
        <v>199</v>
      </c>
    </row>
    <row r="6" spans="1:2" x14ac:dyDescent="0.3">
      <c r="A6" t="s">
        <v>6</v>
      </c>
      <c r="B6">
        <v>195</v>
      </c>
    </row>
    <row r="7" spans="1:2" x14ac:dyDescent="0.3">
      <c r="A7" t="s">
        <v>7</v>
      </c>
      <c r="B7">
        <v>192</v>
      </c>
    </row>
    <row r="8" spans="1:2" x14ac:dyDescent="0.3">
      <c r="A8" t="s">
        <v>8</v>
      </c>
      <c r="B8">
        <v>192</v>
      </c>
    </row>
    <row r="9" spans="1:2" x14ac:dyDescent="0.3">
      <c r="A9" t="s">
        <v>9</v>
      </c>
      <c r="B9">
        <v>188</v>
      </c>
    </row>
    <row r="10" spans="1:2" x14ac:dyDescent="0.3">
      <c r="A10" t="s">
        <v>10</v>
      </c>
      <c r="B10">
        <v>187</v>
      </c>
    </row>
    <row r="11" spans="1:2" x14ac:dyDescent="0.3">
      <c r="A11" t="s">
        <v>11</v>
      </c>
      <c r="B11">
        <v>186</v>
      </c>
    </row>
    <row r="15" spans="1:2" x14ac:dyDescent="0.3">
      <c r="A15" s="2" t="s">
        <v>100</v>
      </c>
      <c r="B15" t="s">
        <v>102</v>
      </c>
    </row>
    <row r="16" spans="1:2" x14ac:dyDescent="0.3">
      <c r="A16" s="3" t="s">
        <v>11</v>
      </c>
      <c r="B16">
        <v>186</v>
      </c>
    </row>
    <row r="17" spans="1:2" x14ac:dyDescent="0.3">
      <c r="A17" s="3" t="s">
        <v>10</v>
      </c>
      <c r="B17">
        <v>187</v>
      </c>
    </row>
    <row r="18" spans="1:2" x14ac:dyDescent="0.3">
      <c r="A18" s="3" t="s">
        <v>9</v>
      </c>
      <c r="B18">
        <v>188</v>
      </c>
    </row>
    <row r="19" spans="1:2" x14ac:dyDescent="0.3">
      <c r="A19" s="3" t="s">
        <v>7</v>
      </c>
      <c r="B19">
        <v>192</v>
      </c>
    </row>
    <row r="20" spans="1:2" x14ac:dyDescent="0.3">
      <c r="A20" s="3" t="s">
        <v>8</v>
      </c>
      <c r="B20">
        <v>192</v>
      </c>
    </row>
    <row r="21" spans="1:2" x14ac:dyDescent="0.3">
      <c r="A21" s="3" t="s">
        <v>6</v>
      </c>
      <c r="B21">
        <v>195</v>
      </c>
    </row>
    <row r="22" spans="1:2" x14ac:dyDescent="0.3">
      <c r="A22" s="3" t="s">
        <v>5</v>
      </c>
      <c r="B22">
        <v>199</v>
      </c>
    </row>
    <row r="23" spans="1:2" x14ac:dyDescent="0.3">
      <c r="A23" s="3" t="s">
        <v>4</v>
      </c>
      <c r="B23">
        <v>202</v>
      </c>
    </row>
    <row r="24" spans="1:2" x14ac:dyDescent="0.3">
      <c r="A24" s="3" t="s">
        <v>3</v>
      </c>
      <c r="B24">
        <v>203</v>
      </c>
    </row>
    <row r="25" spans="1:2" x14ac:dyDescent="0.3">
      <c r="A25" s="3" t="s">
        <v>2</v>
      </c>
      <c r="B25">
        <v>204</v>
      </c>
    </row>
    <row r="26" spans="1:2" x14ac:dyDescent="0.3">
      <c r="A26" s="3" t="s">
        <v>101</v>
      </c>
      <c r="B26">
        <v>1948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63EB-F550-4884-9EBB-488209431792}">
  <dimension ref="A1:B26"/>
  <sheetViews>
    <sheetView workbookViewId="0">
      <selection activeCell="N12" sqref="N12"/>
    </sheetView>
  </sheetViews>
  <sheetFormatPr defaultRowHeight="14.4" x14ac:dyDescent="0.3"/>
  <cols>
    <col min="1" max="1" width="23.109375" bestFit="1" customWidth="1"/>
    <col min="2" max="2" width="18.218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23</v>
      </c>
      <c r="B2">
        <v>94424</v>
      </c>
    </row>
    <row r="3" spans="1:2" x14ac:dyDescent="0.3">
      <c r="A3" t="s">
        <v>22</v>
      </c>
      <c r="B3">
        <v>93777</v>
      </c>
    </row>
    <row r="4" spans="1:2" x14ac:dyDescent="0.3">
      <c r="A4" t="s">
        <v>21</v>
      </c>
      <c r="B4">
        <v>91036</v>
      </c>
    </row>
    <row r="5" spans="1:2" x14ac:dyDescent="0.3">
      <c r="A5" t="s">
        <v>20</v>
      </c>
      <c r="B5">
        <v>86453</v>
      </c>
    </row>
    <row r="6" spans="1:2" x14ac:dyDescent="0.3">
      <c r="A6" t="s">
        <v>19</v>
      </c>
      <c r="B6">
        <v>85532</v>
      </c>
    </row>
    <row r="7" spans="1:2" x14ac:dyDescent="0.3">
      <c r="A7" t="s">
        <v>18</v>
      </c>
      <c r="B7">
        <v>83941</v>
      </c>
    </row>
    <row r="8" spans="1:2" x14ac:dyDescent="0.3">
      <c r="A8" t="s">
        <v>17</v>
      </c>
      <c r="B8">
        <v>81288</v>
      </c>
    </row>
    <row r="9" spans="1:2" x14ac:dyDescent="0.3">
      <c r="A9" t="s">
        <v>16</v>
      </c>
      <c r="B9">
        <v>79762</v>
      </c>
    </row>
    <row r="10" spans="1:2" x14ac:dyDescent="0.3">
      <c r="A10" t="s">
        <v>15</v>
      </c>
      <c r="B10">
        <v>73925</v>
      </c>
    </row>
    <row r="11" spans="1:2" x14ac:dyDescent="0.3">
      <c r="A11" t="s">
        <v>14</v>
      </c>
      <c r="B11">
        <v>55369</v>
      </c>
    </row>
    <row r="15" spans="1:2" x14ac:dyDescent="0.3">
      <c r="A15" s="2" t="s">
        <v>100</v>
      </c>
      <c r="B15" t="s">
        <v>103</v>
      </c>
    </row>
    <row r="16" spans="1:2" x14ac:dyDescent="0.3">
      <c r="A16" s="3" t="s">
        <v>14</v>
      </c>
      <c r="B16">
        <v>55369</v>
      </c>
    </row>
    <row r="17" spans="1:2" x14ac:dyDescent="0.3">
      <c r="A17" s="3" t="s">
        <v>15</v>
      </c>
      <c r="B17">
        <v>73925</v>
      </c>
    </row>
    <row r="18" spans="1:2" x14ac:dyDescent="0.3">
      <c r="A18" s="3" t="s">
        <v>16</v>
      </c>
      <c r="B18">
        <v>79762</v>
      </c>
    </row>
    <row r="19" spans="1:2" x14ac:dyDescent="0.3">
      <c r="A19" s="3" t="s">
        <v>17</v>
      </c>
      <c r="B19">
        <v>81288</v>
      </c>
    </row>
    <row r="20" spans="1:2" x14ac:dyDescent="0.3">
      <c r="A20" s="3" t="s">
        <v>18</v>
      </c>
      <c r="B20">
        <v>83941</v>
      </c>
    </row>
    <row r="21" spans="1:2" x14ac:dyDescent="0.3">
      <c r="A21" s="3" t="s">
        <v>19</v>
      </c>
      <c r="B21">
        <v>85532</v>
      </c>
    </row>
    <row r="22" spans="1:2" x14ac:dyDescent="0.3">
      <c r="A22" s="3" t="s">
        <v>20</v>
      </c>
      <c r="B22">
        <v>86453</v>
      </c>
    </row>
    <row r="23" spans="1:2" x14ac:dyDescent="0.3">
      <c r="A23" s="3" t="s">
        <v>21</v>
      </c>
      <c r="B23">
        <v>91036</v>
      </c>
    </row>
    <row r="24" spans="1:2" x14ac:dyDescent="0.3">
      <c r="A24" s="3" t="s">
        <v>22</v>
      </c>
      <c r="B24">
        <v>93777</v>
      </c>
    </row>
    <row r="25" spans="1:2" x14ac:dyDescent="0.3">
      <c r="A25" s="3" t="s">
        <v>23</v>
      </c>
      <c r="B25">
        <v>94424</v>
      </c>
    </row>
    <row r="26" spans="1:2" x14ac:dyDescent="0.3">
      <c r="A26" s="3" t="s">
        <v>101</v>
      </c>
      <c r="B26">
        <v>825507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6405-8D9A-4DC1-892D-D047B994ABFE}">
  <dimension ref="A1:B62"/>
  <sheetViews>
    <sheetView workbookViewId="0">
      <selection activeCell="G55" sqref="G55"/>
    </sheetView>
  </sheetViews>
  <sheetFormatPr defaultRowHeight="14.4" x14ac:dyDescent="0.3"/>
  <cols>
    <col min="1" max="1" width="23.109375" bestFit="1" customWidth="1"/>
    <col min="2" max="2" width="20.6640625" bestFit="1" customWidth="1"/>
  </cols>
  <sheetData>
    <row r="1" spans="1:2" x14ac:dyDescent="0.3">
      <c r="A1" t="s">
        <v>0</v>
      </c>
      <c r="B1" t="s">
        <v>24</v>
      </c>
    </row>
    <row r="2" spans="1:2" x14ac:dyDescent="0.3">
      <c r="A2" t="s">
        <v>16</v>
      </c>
      <c r="B2">
        <v>104</v>
      </c>
    </row>
    <row r="3" spans="1:2" x14ac:dyDescent="0.3">
      <c r="A3" t="s">
        <v>25</v>
      </c>
      <c r="B3">
        <v>103</v>
      </c>
    </row>
    <row r="4" spans="1:2" x14ac:dyDescent="0.3">
      <c r="A4" t="s">
        <v>15</v>
      </c>
      <c r="B4">
        <v>100</v>
      </c>
    </row>
    <row r="5" spans="1:2" x14ac:dyDescent="0.3">
      <c r="A5" t="s">
        <v>14</v>
      </c>
      <c r="B5">
        <v>100</v>
      </c>
    </row>
    <row r="6" spans="1:2" x14ac:dyDescent="0.3">
      <c r="A6" t="s">
        <v>20</v>
      </c>
      <c r="B6">
        <v>99</v>
      </c>
    </row>
    <row r="7" spans="1:2" x14ac:dyDescent="0.3">
      <c r="A7" t="s">
        <v>26</v>
      </c>
      <c r="B7">
        <v>99</v>
      </c>
    </row>
    <row r="8" spans="1:2" x14ac:dyDescent="0.3">
      <c r="A8" t="s">
        <v>23</v>
      </c>
      <c r="B8">
        <v>98</v>
      </c>
    </row>
    <row r="9" spans="1:2" x14ac:dyDescent="0.3">
      <c r="A9" t="s">
        <v>27</v>
      </c>
      <c r="B9">
        <v>96</v>
      </c>
    </row>
    <row r="10" spans="1:2" x14ac:dyDescent="0.3">
      <c r="A10" t="s">
        <v>28</v>
      </c>
      <c r="B10">
        <v>95</v>
      </c>
    </row>
    <row r="11" spans="1:2" x14ac:dyDescent="0.3">
      <c r="A11" t="s">
        <v>6</v>
      </c>
      <c r="B11">
        <v>95</v>
      </c>
    </row>
    <row r="12" spans="1:2" hidden="1" x14ac:dyDescent="0.3">
      <c r="A12" t="s">
        <v>29</v>
      </c>
      <c r="B12">
        <v>94</v>
      </c>
    </row>
    <row r="13" spans="1:2" hidden="1" x14ac:dyDescent="0.3">
      <c r="A13" t="s">
        <v>30</v>
      </c>
      <c r="B13">
        <v>94</v>
      </c>
    </row>
    <row r="14" spans="1:2" hidden="1" x14ac:dyDescent="0.3">
      <c r="A14" t="s">
        <v>31</v>
      </c>
      <c r="B14">
        <v>94</v>
      </c>
    </row>
    <row r="15" spans="1:2" hidden="1" x14ac:dyDescent="0.3">
      <c r="A15" t="s">
        <v>32</v>
      </c>
      <c r="B15">
        <v>92</v>
      </c>
    </row>
    <row r="16" spans="1:2" hidden="1" x14ac:dyDescent="0.3">
      <c r="A16" t="s">
        <v>2</v>
      </c>
      <c r="B16">
        <v>92</v>
      </c>
    </row>
    <row r="17" spans="1:2" hidden="1" x14ac:dyDescent="0.3">
      <c r="A17" t="s">
        <v>33</v>
      </c>
      <c r="B17">
        <v>91</v>
      </c>
    </row>
    <row r="18" spans="1:2" hidden="1" x14ac:dyDescent="0.3">
      <c r="A18" t="s">
        <v>34</v>
      </c>
      <c r="B18">
        <v>90</v>
      </c>
    </row>
    <row r="19" spans="1:2" hidden="1" x14ac:dyDescent="0.3">
      <c r="A19" t="s">
        <v>10</v>
      </c>
      <c r="B19">
        <v>89</v>
      </c>
    </row>
    <row r="20" spans="1:2" hidden="1" x14ac:dyDescent="0.3">
      <c r="A20" t="s">
        <v>3</v>
      </c>
      <c r="B20">
        <v>89</v>
      </c>
    </row>
    <row r="21" spans="1:2" hidden="1" x14ac:dyDescent="0.3">
      <c r="A21" t="s">
        <v>7</v>
      </c>
      <c r="B21">
        <v>88</v>
      </c>
    </row>
    <row r="22" spans="1:2" hidden="1" x14ac:dyDescent="0.3">
      <c r="A22" t="s">
        <v>35</v>
      </c>
      <c r="B22">
        <v>88</v>
      </c>
    </row>
    <row r="23" spans="1:2" hidden="1" x14ac:dyDescent="0.3">
      <c r="A23" t="s">
        <v>19</v>
      </c>
      <c r="B23">
        <v>88</v>
      </c>
    </row>
    <row r="24" spans="1:2" hidden="1" x14ac:dyDescent="0.3">
      <c r="A24" t="s">
        <v>36</v>
      </c>
      <c r="B24">
        <v>87</v>
      </c>
    </row>
    <row r="25" spans="1:2" hidden="1" x14ac:dyDescent="0.3">
      <c r="A25" t="s">
        <v>37</v>
      </c>
      <c r="B25">
        <v>87</v>
      </c>
    </row>
    <row r="26" spans="1:2" hidden="1" x14ac:dyDescent="0.3">
      <c r="A26" t="s">
        <v>38</v>
      </c>
      <c r="B26">
        <v>86</v>
      </c>
    </row>
    <row r="27" spans="1:2" hidden="1" x14ac:dyDescent="0.3">
      <c r="A27" t="s">
        <v>39</v>
      </c>
      <c r="B27">
        <v>85</v>
      </c>
    </row>
    <row r="28" spans="1:2" hidden="1" x14ac:dyDescent="0.3">
      <c r="A28" t="s">
        <v>40</v>
      </c>
      <c r="B28">
        <v>84</v>
      </c>
    </row>
    <row r="29" spans="1:2" hidden="1" x14ac:dyDescent="0.3">
      <c r="A29" t="s">
        <v>22</v>
      </c>
      <c r="B29">
        <v>84</v>
      </c>
    </row>
    <row r="30" spans="1:2" hidden="1" x14ac:dyDescent="0.3">
      <c r="A30" t="s">
        <v>18</v>
      </c>
      <c r="B30">
        <v>84</v>
      </c>
    </row>
    <row r="31" spans="1:2" hidden="1" x14ac:dyDescent="0.3">
      <c r="A31" t="s">
        <v>21</v>
      </c>
      <c r="B31">
        <v>84</v>
      </c>
    </row>
    <row r="32" spans="1:2" hidden="1" x14ac:dyDescent="0.3">
      <c r="A32" t="s">
        <v>41</v>
      </c>
      <c r="B32">
        <v>84</v>
      </c>
    </row>
    <row r="33" spans="1:2" hidden="1" x14ac:dyDescent="0.3">
      <c r="A33" t="s">
        <v>11</v>
      </c>
      <c r="B33">
        <v>83</v>
      </c>
    </row>
    <row r="34" spans="1:2" hidden="1" x14ac:dyDescent="0.3">
      <c r="A34" t="s">
        <v>4</v>
      </c>
      <c r="B34">
        <v>83</v>
      </c>
    </row>
    <row r="35" spans="1:2" hidden="1" x14ac:dyDescent="0.3">
      <c r="A35" t="s">
        <v>42</v>
      </c>
      <c r="B35">
        <v>83</v>
      </c>
    </row>
    <row r="36" spans="1:2" hidden="1" x14ac:dyDescent="0.3">
      <c r="A36" t="s">
        <v>43</v>
      </c>
      <c r="B36">
        <v>83</v>
      </c>
    </row>
    <row r="37" spans="1:2" hidden="1" x14ac:dyDescent="0.3">
      <c r="A37" t="s">
        <v>44</v>
      </c>
      <c r="B37">
        <v>83</v>
      </c>
    </row>
    <row r="38" spans="1:2" hidden="1" x14ac:dyDescent="0.3">
      <c r="A38" t="s">
        <v>45</v>
      </c>
      <c r="B38">
        <v>81</v>
      </c>
    </row>
    <row r="39" spans="1:2" hidden="1" x14ac:dyDescent="0.3">
      <c r="A39" t="s">
        <v>46</v>
      </c>
      <c r="B39">
        <v>79</v>
      </c>
    </row>
    <row r="40" spans="1:2" hidden="1" x14ac:dyDescent="0.3">
      <c r="A40" t="s">
        <v>17</v>
      </c>
      <c r="B40">
        <v>79</v>
      </c>
    </row>
    <row r="41" spans="1:2" hidden="1" x14ac:dyDescent="0.3">
      <c r="A41" t="s">
        <v>47</v>
      </c>
      <c r="B41">
        <v>78</v>
      </c>
    </row>
    <row r="42" spans="1:2" hidden="1" x14ac:dyDescent="0.3">
      <c r="A42" t="s">
        <v>48</v>
      </c>
      <c r="B42">
        <v>76</v>
      </c>
    </row>
    <row r="43" spans="1:2" hidden="1" x14ac:dyDescent="0.3">
      <c r="A43" t="s">
        <v>8</v>
      </c>
      <c r="B43">
        <v>76</v>
      </c>
    </row>
    <row r="44" spans="1:2" hidden="1" x14ac:dyDescent="0.3">
      <c r="A44" t="s">
        <v>49</v>
      </c>
      <c r="B44">
        <v>75</v>
      </c>
    </row>
    <row r="45" spans="1:2" hidden="1" x14ac:dyDescent="0.3">
      <c r="A45" t="s">
        <v>9</v>
      </c>
      <c r="B45">
        <v>74</v>
      </c>
    </row>
    <row r="46" spans="1:2" hidden="1" x14ac:dyDescent="0.3">
      <c r="A46" t="s">
        <v>50</v>
      </c>
      <c r="B46">
        <v>73</v>
      </c>
    </row>
    <row r="47" spans="1:2" hidden="1" x14ac:dyDescent="0.3">
      <c r="A47" t="s">
        <v>5</v>
      </c>
      <c r="B47">
        <v>72</v>
      </c>
    </row>
    <row r="48" spans="1:2" hidden="1" x14ac:dyDescent="0.3">
      <c r="A48" t="s">
        <v>51</v>
      </c>
      <c r="B48">
        <v>67</v>
      </c>
    </row>
    <row r="51" spans="1:2" x14ac:dyDescent="0.3">
      <c r="A51" s="2" t="s">
        <v>100</v>
      </c>
      <c r="B51" t="s">
        <v>104</v>
      </c>
    </row>
    <row r="52" spans="1:2" x14ac:dyDescent="0.3">
      <c r="A52" s="3" t="s">
        <v>16</v>
      </c>
      <c r="B52">
        <v>104</v>
      </c>
    </row>
    <row r="53" spans="1:2" x14ac:dyDescent="0.3">
      <c r="A53" s="3" t="s">
        <v>25</v>
      </c>
      <c r="B53">
        <v>103</v>
      </c>
    </row>
    <row r="54" spans="1:2" x14ac:dyDescent="0.3">
      <c r="A54" s="3" t="s">
        <v>14</v>
      </c>
      <c r="B54">
        <v>100</v>
      </c>
    </row>
    <row r="55" spans="1:2" x14ac:dyDescent="0.3">
      <c r="A55" s="3" t="s">
        <v>15</v>
      </c>
      <c r="B55">
        <v>100</v>
      </c>
    </row>
    <row r="56" spans="1:2" x14ac:dyDescent="0.3">
      <c r="A56" s="3" t="s">
        <v>26</v>
      </c>
      <c r="B56">
        <v>99</v>
      </c>
    </row>
    <row r="57" spans="1:2" x14ac:dyDescent="0.3">
      <c r="A57" s="3" t="s">
        <v>20</v>
      </c>
      <c r="B57">
        <v>99</v>
      </c>
    </row>
    <row r="58" spans="1:2" x14ac:dyDescent="0.3">
      <c r="A58" s="3" t="s">
        <v>23</v>
      </c>
      <c r="B58">
        <v>98</v>
      </c>
    </row>
    <row r="59" spans="1:2" x14ac:dyDescent="0.3">
      <c r="A59" s="3" t="s">
        <v>27</v>
      </c>
      <c r="B59">
        <v>96</v>
      </c>
    </row>
    <row r="60" spans="1:2" x14ac:dyDescent="0.3">
      <c r="A60" s="3" t="s">
        <v>28</v>
      </c>
      <c r="B60">
        <v>95</v>
      </c>
    </row>
    <row r="61" spans="1:2" x14ac:dyDescent="0.3">
      <c r="A61" s="3" t="s">
        <v>6</v>
      </c>
      <c r="B61">
        <v>95</v>
      </c>
    </row>
    <row r="62" spans="1:2" x14ac:dyDescent="0.3">
      <c r="A62" s="3" t="s">
        <v>101</v>
      </c>
      <c r="B62">
        <v>989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426D-7F3B-41FF-814B-9A4DBDC4102E}">
  <dimension ref="A1:F48"/>
  <sheetViews>
    <sheetView topLeftCell="A22" workbookViewId="0">
      <selection activeCell="E36" sqref="E36"/>
    </sheetView>
  </sheetViews>
  <sheetFormatPr defaultRowHeight="14.4" x14ac:dyDescent="0.3"/>
  <cols>
    <col min="1" max="1" width="26.88671875" bestFit="1" customWidth="1"/>
    <col min="2" max="2" width="16.21875" customWidth="1"/>
    <col min="5" max="5" width="26.88671875" bestFit="1" customWidth="1"/>
    <col min="6" max="6" width="15.6640625" bestFit="1" customWidth="1"/>
  </cols>
  <sheetData>
    <row r="1" spans="1:3" x14ac:dyDescent="0.3">
      <c r="A1" s="6" t="s">
        <v>0</v>
      </c>
      <c r="B1" s="6" t="s">
        <v>52</v>
      </c>
      <c r="C1" s="6" t="s">
        <v>108</v>
      </c>
    </row>
    <row r="2" spans="1:3" x14ac:dyDescent="0.3">
      <c r="A2" s="5" t="s">
        <v>7</v>
      </c>
      <c r="B2" s="5" t="s">
        <v>53</v>
      </c>
      <c r="C2">
        <v>1</v>
      </c>
    </row>
    <row r="3" spans="1:3" x14ac:dyDescent="0.3">
      <c r="A3" s="4" t="s">
        <v>17</v>
      </c>
      <c r="B3" s="4" t="s">
        <v>54</v>
      </c>
      <c r="C3">
        <v>1</v>
      </c>
    </row>
    <row r="4" spans="1:3" x14ac:dyDescent="0.3">
      <c r="A4" s="5" t="s">
        <v>26</v>
      </c>
      <c r="B4" s="5" t="s">
        <v>55</v>
      </c>
      <c r="C4">
        <v>1</v>
      </c>
    </row>
    <row r="5" spans="1:3" x14ac:dyDescent="0.3">
      <c r="A5" s="4" t="s">
        <v>40</v>
      </c>
      <c r="B5" s="4" t="s">
        <v>56</v>
      </c>
      <c r="C5">
        <v>1</v>
      </c>
    </row>
    <row r="6" spans="1:3" x14ac:dyDescent="0.3">
      <c r="A6" s="5" t="s">
        <v>6</v>
      </c>
      <c r="B6" s="5" t="s">
        <v>56</v>
      </c>
      <c r="C6">
        <v>1</v>
      </c>
    </row>
    <row r="7" spans="1:3" x14ac:dyDescent="0.3">
      <c r="A7" s="4" t="s">
        <v>20</v>
      </c>
      <c r="B7" s="4" t="s">
        <v>54</v>
      </c>
      <c r="C7">
        <v>1</v>
      </c>
    </row>
    <row r="8" spans="1:3" x14ac:dyDescent="0.3">
      <c r="A8" s="5" t="s">
        <v>15</v>
      </c>
      <c r="B8" s="5" t="s">
        <v>55</v>
      </c>
      <c r="C8">
        <v>1</v>
      </c>
    </row>
    <row r="9" spans="1:3" x14ac:dyDescent="0.3">
      <c r="A9" s="4" t="s">
        <v>10</v>
      </c>
      <c r="B9" s="4" t="s">
        <v>55</v>
      </c>
      <c r="C9">
        <v>1</v>
      </c>
    </row>
    <row r="10" spans="1:3" x14ac:dyDescent="0.3">
      <c r="A10" s="5" t="s">
        <v>47</v>
      </c>
      <c r="B10" s="5" t="s">
        <v>55</v>
      </c>
      <c r="C10">
        <v>1</v>
      </c>
    </row>
    <row r="11" spans="1:3" x14ac:dyDescent="0.3">
      <c r="A11" s="4" t="s">
        <v>29</v>
      </c>
      <c r="B11" s="4" t="s">
        <v>54</v>
      </c>
      <c r="C11">
        <v>1</v>
      </c>
    </row>
    <row r="12" spans="1:3" x14ac:dyDescent="0.3">
      <c r="A12" s="5" t="s">
        <v>11</v>
      </c>
      <c r="B12" s="5" t="s">
        <v>56</v>
      </c>
      <c r="C12">
        <v>1</v>
      </c>
    </row>
    <row r="13" spans="1:3" x14ac:dyDescent="0.3">
      <c r="A13" s="4" t="s">
        <v>43</v>
      </c>
      <c r="B13" s="4" t="s">
        <v>57</v>
      </c>
      <c r="C13">
        <v>1</v>
      </c>
    </row>
    <row r="14" spans="1:3" x14ac:dyDescent="0.3">
      <c r="A14" s="5" t="s">
        <v>31</v>
      </c>
      <c r="B14" s="5" t="s">
        <v>56</v>
      </c>
      <c r="C14">
        <v>1</v>
      </c>
    </row>
    <row r="15" spans="1:3" x14ac:dyDescent="0.3">
      <c r="A15" s="4" t="s">
        <v>23</v>
      </c>
      <c r="B15" s="4" t="s">
        <v>57</v>
      </c>
      <c r="C15">
        <v>1</v>
      </c>
    </row>
    <row r="16" spans="1:3" x14ac:dyDescent="0.3">
      <c r="A16" s="5" t="s">
        <v>35</v>
      </c>
      <c r="B16" s="5" t="s">
        <v>55</v>
      </c>
      <c r="C16">
        <v>1</v>
      </c>
    </row>
    <row r="17" spans="1:6" x14ac:dyDescent="0.3">
      <c r="A17" s="4" t="s">
        <v>36</v>
      </c>
      <c r="B17" s="4" t="s">
        <v>58</v>
      </c>
      <c r="C17">
        <v>1</v>
      </c>
    </row>
    <row r="18" spans="1:6" x14ac:dyDescent="0.3">
      <c r="A18" s="5" t="s">
        <v>22</v>
      </c>
      <c r="B18" s="5" t="s">
        <v>56</v>
      </c>
      <c r="C18">
        <v>1</v>
      </c>
    </row>
    <row r="19" spans="1:6" x14ac:dyDescent="0.3">
      <c r="A19" s="4" t="s">
        <v>27</v>
      </c>
      <c r="B19" s="4" t="s">
        <v>59</v>
      </c>
      <c r="C19">
        <v>1</v>
      </c>
    </row>
    <row r="20" spans="1:6" x14ac:dyDescent="0.3">
      <c r="A20" s="5" t="s">
        <v>16</v>
      </c>
      <c r="B20" s="5" t="s">
        <v>60</v>
      </c>
      <c r="C20">
        <v>1</v>
      </c>
    </row>
    <row r="21" spans="1:6" x14ac:dyDescent="0.3">
      <c r="A21" s="4" t="s">
        <v>21</v>
      </c>
      <c r="B21" s="4" t="s">
        <v>53</v>
      </c>
      <c r="C21">
        <v>1</v>
      </c>
    </row>
    <row r="22" spans="1:6" x14ac:dyDescent="0.3">
      <c r="A22" s="5" t="s">
        <v>25</v>
      </c>
      <c r="B22" s="5" t="s">
        <v>58</v>
      </c>
      <c r="C22">
        <v>1</v>
      </c>
    </row>
    <row r="23" spans="1:6" x14ac:dyDescent="0.3">
      <c r="A23" s="4" t="s">
        <v>45</v>
      </c>
      <c r="B23" s="4" t="s">
        <v>55</v>
      </c>
      <c r="C23">
        <v>1</v>
      </c>
      <c r="E23" s="2" t="s">
        <v>52</v>
      </c>
      <c r="F23" t="s">
        <v>109</v>
      </c>
    </row>
    <row r="24" spans="1:6" x14ac:dyDescent="0.3">
      <c r="A24" s="5" t="s">
        <v>51</v>
      </c>
      <c r="B24" s="5" t="s">
        <v>53</v>
      </c>
      <c r="C24">
        <v>1</v>
      </c>
      <c r="E24" t="s">
        <v>55</v>
      </c>
      <c r="F24">
        <v>8</v>
      </c>
    </row>
    <row r="25" spans="1:6" x14ac:dyDescent="0.3">
      <c r="A25" s="4" t="s">
        <v>39</v>
      </c>
      <c r="B25" s="4" t="s">
        <v>60</v>
      </c>
      <c r="C25">
        <v>1</v>
      </c>
      <c r="E25" t="s">
        <v>56</v>
      </c>
      <c r="F25">
        <v>8</v>
      </c>
    </row>
    <row r="26" spans="1:6" x14ac:dyDescent="0.3">
      <c r="A26" s="5" t="s">
        <v>3</v>
      </c>
      <c r="B26" s="5" t="s">
        <v>61</v>
      </c>
      <c r="C26">
        <v>1</v>
      </c>
      <c r="E26" t="s">
        <v>54</v>
      </c>
      <c r="F26">
        <v>6</v>
      </c>
    </row>
    <row r="27" spans="1:6" x14ac:dyDescent="0.3">
      <c r="A27" s="4" t="s">
        <v>44</v>
      </c>
      <c r="B27" s="4" t="s">
        <v>59</v>
      </c>
      <c r="C27">
        <v>1</v>
      </c>
      <c r="E27" t="s">
        <v>58</v>
      </c>
      <c r="F27">
        <v>6</v>
      </c>
    </row>
    <row r="28" spans="1:6" x14ac:dyDescent="0.3">
      <c r="A28" s="5" t="s">
        <v>5</v>
      </c>
      <c r="B28" s="5" t="s">
        <v>57</v>
      </c>
      <c r="C28">
        <v>1</v>
      </c>
      <c r="E28" t="s">
        <v>59</v>
      </c>
      <c r="F28">
        <v>5</v>
      </c>
    </row>
    <row r="29" spans="1:6" x14ac:dyDescent="0.3">
      <c r="A29" s="4" t="s">
        <v>30</v>
      </c>
      <c r="B29" s="4" t="s">
        <v>61</v>
      </c>
      <c r="C29">
        <v>1</v>
      </c>
      <c r="E29" t="s">
        <v>53</v>
      </c>
      <c r="F29">
        <v>5</v>
      </c>
    </row>
    <row r="30" spans="1:6" x14ac:dyDescent="0.3">
      <c r="A30" s="5" t="s">
        <v>18</v>
      </c>
      <c r="B30" s="5" t="s">
        <v>55</v>
      </c>
      <c r="C30">
        <v>1</v>
      </c>
      <c r="E30" t="s">
        <v>57</v>
      </c>
      <c r="F30">
        <v>4</v>
      </c>
    </row>
    <row r="31" spans="1:6" x14ac:dyDescent="0.3">
      <c r="A31" s="4" t="s">
        <v>38</v>
      </c>
      <c r="B31" s="4" t="s">
        <v>55</v>
      </c>
      <c r="C31">
        <v>1</v>
      </c>
      <c r="E31" t="s">
        <v>61</v>
      </c>
      <c r="F31">
        <v>3</v>
      </c>
    </row>
    <row r="32" spans="1:6" x14ac:dyDescent="0.3">
      <c r="A32" s="5" t="s">
        <v>19</v>
      </c>
      <c r="B32" s="5" t="s">
        <v>54</v>
      </c>
      <c r="C32">
        <v>1</v>
      </c>
      <c r="E32" t="s">
        <v>60</v>
      </c>
      <c r="F32">
        <v>2</v>
      </c>
    </row>
    <row r="33" spans="1:3" x14ac:dyDescent="0.3">
      <c r="A33" s="4" t="s">
        <v>37</v>
      </c>
      <c r="B33" s="4" t="s">
        <v>56</v>
      </c>
      <c r="C33">
        <v>1</v>
      </c>
    </row>
    <row r="34" spans="1:3" x14ac:dyDescent="0.3">
      <c r="A34" s="5" t="s">
        <v>33</v>
      </c>
      <c r="B34" s="5" t="s">
        <v>54</v>
      </c>
      <c r="C34">
        <v>1</v>
      </c>
    </row>
    <row r="35" spans="1:3" x14ac:dyDescent="0.3">
      <c r="A35" s="4" t="s">
        <v>9</v>
      </c>
      <c r="B35" s="4" t="s">
        <v>59</v>
      </c>
      <c r="C35">
        <v>1</v>
      </c>
    </row>
    <row r="36" spans="1:3" x14ac:dyDescent="0.3">
      <c r="A36" s="5" t="s">
        <v>8</v>
      </c>
      <c r="B36" s="5" t="s">
        <v>58</v>
      </c>
      <c r="C36">
        <v>1</v>
      </c>
    </row>
    <row r="37" spans="1:3" x14ac:dyDescent="0.3">
      <c r="A37" s="4" t="s">
        <v>4</v>
      </c>
      <c r="B37" s="4" t="s">
        <v>58</v>
      </c>
      <c r="C37">
        <v>1</v>
      </c>
    </row>
    <row r="38" spans="1:3" x14ac:dyDescent="0.3">
      <c r="A38" s="5" t="s">
        <v>14</v>
      </c>
      <c r="B38" s="5" t="s">
        <v>61</v>
      </c>
      <c r="C38">
        <v>1</v>
      </c>
    </row>
    <row r="39" spans="1:3" x14ac:dyDescent="0.3">
      <c r="A39" s="4" t="s">
        <v>28</v>
      </c>
      <c r="B39" s="4" t="s">
        <v>56</v>
      </c>
      <c r="C39">
        <v>1</v>
      </c>
    </row>
    <row r="40" spans="1:3" x14ac:dyDescent="0.3">
      <c r="A40" s="5" t="s">
        <v>42</v>
      </c>
      <c r="B40" s="5" t="s">
        <v>59</v>
      </c>
      <c r="C40">
        <v>1</v>
      </c>
    </row>
    <row r="41" spans="1:3" x14ac:dyDescent="0.3">
      <c r="A41" s="4" t="s">
        <v>2</v>
      </c>
      <c r="B41" s="4" t="s">
        <v>53</v>
      </c>
      <c r="C41">
        <v>1</v>
      </c>
    </row>
    <row r="42" spans="1:3" x14ac:dyDescent="0.3">
      <c r="A42" s="5" t="s">
        <v>48</v>
      </c>
      <c r="B42" s="5" t="s">
        <v>57</v>
      </c>
      <c r="C42">
        <v>1</v>
      </c>
    </row>
    <row r="43" spans="1:3" x14ac:dyDescent="0.3">
      <c r="A43" s="4" t="s">
        <v>32</v>
      </c>
      <c r="B43" s="4" t="s">
        <v>59</v>
      </c>
      <c r="C43">
        <v>1</v>
      </c>
    </row>
    <row r="44" spans="1:3" x14ac:dyDescent="0.3">
      <c r="A44" s="5" t="s">
        <v>34</v>
      </c>
      <c r="B44" s="5" t="s">
        <v>58</v>
      </c>
      <c r="C44">
        <v>1</v>
      </c>
    </row>
    <row r="45" spans="1:3" x14ac:dyDescent="0.3">
      <c r="A45" s="4" t="s">
        <v>46</v>
      </c>
      <c r="B45" s="4" t="s">
        <v>56</v>
      </c>
      <c r="C45">
        <v>1</v>
      </c>
    </row>
    <row r="46" spans="1:3" x14ac:dyDescent="0.3">
      <c r="A46" s="5" t="s">
        <v>49</v>
      </c>
      <c r="B46" s="5" t="s">
        <v>54</v>
      </c>
      <c r="C46">
        <v>1</v>
      </c>
    </row>
    <row r="47" spans="1:3" x14ac:dyDescent="0.3">
      <c r="A47" s="4" t="s">
        <v>41</v>
      </c>
      <c r="B47" s="4" t="s">
        <v>58</v>
      </c>
      <c r="C47">
        <v>1</v>
      </c>
    </row>
    <row r="48" spans="1:3" x14ac:dyDescent="0.3">
      <c r="A48" s="5" t="s">
        <v>50</v>
      </c>
      <c r="B48" s="5" t="s">
        <v>53</v>
      </c>
      <c r="C48">
        <v>1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997E-4829-4904-97D3-C36B88316E94}">
  <dimension ref="A1:E35"/>
  <sheetViews>
    <sheetView workbookViewId="0">
      <selection activeCell="E12" sqref="E12"/>
    </sheetView>
  </sheetViews>
  <sheetFormatPr defaultRowHeight="14.4" x14ac:dyDescent="0.3"/>
  <cols>
    <col min="1" max="1" width="13.5546875" bestFit="1" customWidth="1"/>
    <col min="2" max="2" width="17.88671875" bestFit="1" customWidth="1"/>
    <col min="4" max="4" width="12.44140625" bestFit="1" customWidth="1"/>
    <col min="5" max="5" width="21.88671875" bestFit="1" customWidth="1"/>
  </cols>
  <sheetData>
    <row r="1" spans="1:5" x14ac:dyDescent="0.3">
      <c r="A1" t="s">
        <v>62</v>
      </c>
      <c r="B1" t="s">
        <v>1</v>
      </c>
    </row>
    <row r="2" spans="1:5" x14ac:dyDescent="0.3">
      <c r="A2" t="s">
        <v>63</v>
      </c>
      <c r="B2">
        <v>381</v>
      </c>
    </row>
    <row r="3" spans="1:5" x14ac:dyDescent="0.3">
      <c r="A3" t="s">
        <v>64</v>
      </c>
      <c r="B3">
        <v>288</v>
      </c>
      <c r="D3" s="2" t="s">
        <v>100</v>
      </c>
      <c r="E3" t="s">
        <v>102</v>
      </c>
    </row>
    <row r="4" spans="1:5" x14ac:dyDescent="0.3">
      <c r="A4" t="s">
        <v>65</v>
      </c>
      <c r="B4">
        <v>274</v>
      </c>
      <c r="D4" s="3" t="s">
        <v>72</v>
      </c>
      <c r="E4">
        <v>234</v>
      </c>
    </row>
    <row r="5" spans="1:5" x14ac:dyDescent="0.3">
      <c r="A5" t="s">
        <v>66</v>
      </c>
      <c r="B5">
        <v>258</v>
      </c>
      <c r="D5" s="3" t="s">
        <v>73</v>
      </c>
      <c r="E5">
        <v>234</v>
      </c>
    </row>
    <row r="6" spans="1:5" x14ac:dyDescent="0.3">
      <c r="A6" t="s">
        <v>67</v>
      </c>
      <c r="B6">
        <v>257</v>
      </c>
      <c r="D6" s="3" t="s">
        <v>71</v>
      </c>
      <c r="E6">
        <v>235</v>
      </c>
    </row>
    <row r="7" spans="1:5" x14ac:dyDescent="0.3">
      <c r="A7" t="s">
        <v>68</v>
      </c>
      <c r="B7">
        <v>251</v>
      </c>
      <c r="D7" s="3" t="s">
        <v>70</v>
      </c>
      <c r="E7">
        <v>236</v>
      </c>
    </row>
    <row r="8" spans="1:5" x14ac:dyDescent="0.3">
      <c r="A8" t="s">
        <v>69</v>
      </c>
      <c r="B8">
        <v>245</v>
      </c>
      <c r="D8" s="3" t="s">
        <v>69</v>
      </c>
      <c r="E8">
        <v>245</v>
      </c>
    </row>
    <row r="9" spans="1:5" x14ac:dyDescent="0.3">
      <c r="A9" t="s">
        <v>70</v>
      </c>
      <c r="B9">
        <v>236</v>
      </c>
      <c r="D9" s="3" t="s">
        <v>68</v>
      </c>
      <c r="E9">
        <v>251</v>
      </c>
    </row>
    <row r="10" spans="1:5" x14ac:dyDescent="0.3">
      <c r="A10" t="s">
        <v>71</v>
      </c>
      <c r="B10">
        <v>235</v>
      </c>
      <c r="D10" s="3" t="s">
        <v>67</v>
      </c>
      <c r="E10">
        <v>257</v>
      </c>
    </row>
    <row r="11" spans="1:5" x14ac:dyDescent="0.3">
      <c r="A11" t="s">
        <v>72</v>
      </c>
      <c r="B11">
        <v>234</v>
      </c>
      <c r="D11" s="3" t="s">
        <v>66</v>
      </c>
      <c r="E11">
        <v>258</v>
      </c>
    </row>
    <row r="12" spans="1:5" x14ac:dyDescent="0.3">
      <c r="A12" t="s">
        <v>73</v>
      </c>
      <c r="B12">
        <v>234</v>
      </c>
      <c r="D12" s="3" t="s">
        <v>65</v>
      </c>
      <c r="E12">
        <v>274</v>
      </c>
    </row>
    <row r="13" spans="1:5" x14ac:dyDescent="0.3">
      <c r="A13" t="s">
        <v>74</v>
      </c>
      <c r="B13">
        <v>233</v>
      </c>
      <c r="D13" s="3" t="s">
        <v>64</v>
      </c>
      <c r="E13">
        <v>288</v>
      </c>
    </row>
    <row r="14" spans="1:5" x14ac:dyDescent="0.3">
      <c r="A14" t="s">
        <v>75</v>
      </c>
      <c r="B14">
        <v>227</v>
      </c>
      <c r="D14" s="3" t="s">
        <v>63</v>
      </c>
      <c r="E14">
        <v>381</v>
      </c>
    </row>
    <row r="15" spans="1:5" x14ac:dyDescent="0.3">
      <c r="A15" t="s">
        <v>76</v>
      </c>
      <c r="B15">
        <v>224</v>
      </c>
      <c r="D15" s="3" t="s">
        <v>101</v>
      </c>
      <c r="E15">
        <v>2893</v>
      </c>
    </row>
    <row r="16" spans="1:5" x14ac:dyDescent="0.3">
      <c r="A16" t="s">
        <v>77</v>
      </c>
      <c r="B16">
        <v>224</v>
      </c>
    </row>
    <row r="17" spans="1:2" x14ac:dyDescent="0.3">
      <c r="A17" t="s">
        <v>78</v>
      </c>
      <c r="B17">
        <v>224</v>
      </c>
    </row>
    <row r="18" spans="1:2" x14ac:dyDescent="0.3">
      <c r="A18" t="s">
        <v>79</v>
      </c>
      <c r="B18">
        <v>223</v>
      </c>
    </row>
    <row r="19" spans="1:2" x14ac:dyDescent="0.3">
      <c r="A19" t="s">
        <v>80</v>
      </c>
      <c r="B19">
        <v>216</v>
      </c>
    </row>
    <row r="20" spans="1:2" x14ac:dyDescent="0.3">
      <c r="A20" t="s">
        <v>81</v>
      </c>
      <c r="B20">
        <v>215</v>
      </c>
    </row>
    <row r="21" spans="1:2" x14ac:dyDescent="0.3">
      <c r="A21" t="s">
        <v>82</v>
      </c>
      <c r="B21">
        <v>211</v>
      </c>
    </row>
    <row r="22" spans="1:2" x14ac:dyDescent="0.3">
      <c r="A22" t="s">
        <v>83</v>
      </c>
      <c r="B22">
        <v>211</v>
      </c>
    </row>
    <row r="23" spans="1:2" x14ac:dyDescent="0.3">
      <c r="A23" t="s">
        <v>84</v>
      </c>
      <c r="B23">
        <v>206</v>
      </c>
    </row>
    <row r="24" spans="1:2" x14ac:dyDescent="0.3">
      <c r="A24" t="s">
        <v>85</v>
      </c>
      <c r="B24">
        <v>206</v>
      </c>
    </row>
    <row r="25" spans="1:2" x14ac:dyDescent="0.3">
      <c r="A25" t="s">
        <v>86</v>
      </c>
      <c r="B25">
        <v>198</v>
      </c>
    </row>
    <row r="26" spans="1:2" x14ac:dyDescent="0.3">
      <c r="A26" t="s">
        <v>87</v>
      </c>
      <c r="B26">
        <v>197</v>
      </c>
    </row>
    <row r="27" spans="1:2" x14ac:dyDescent="0.3">
      <c r="A27" t="s">
        <v>88</v>
      </c>
      <c r="B27">
        <v>195</v>
      </c>
    </row>
    <row r="28" spans="1:2" x14ac:dyDescent="0.3">
      <c r="A28" t="s">
        <v>89</v>
      </c>
      <c r="B28">
        <v>186</v>
      </c>
    </row>
    <row r="29" spans="1:2" x14ac:dyDescent="0.3">
      <c r="A29" t="s">
        <v>90</v>
      </c>
      <c r="B29">
        <v>184</v>
      </c>
    </row>
    <row r="30" spans="1:2" x14ac:dyDescent="0.3">
      <c r="A30" t="s">
        <v>91</v>
      </c>
      <c r="B30">
        <v>180</v>
      </c>
    </row>
    <row r="31" spans="1:2" x14ac:dyDescent="0.3">
      <c r="A31" t="s">
        <v>92</v>
      </c>
      <c r="B31">
        <v>179</v>
      </c>
    </row>
    <row r="32" spans="1:2" x14ac:dyDescent="0.3">
      <c r="A32" t="s">
        <v>93</v>
      </c>
      <c r="B32">
        <v>177</v>
      </c>
    </row>
    <row r="33" spans="1:2" x14ac:dyDescent="0.3">
      <c r="A33" t="s">
        <v>94</v>
      </c>
      <c r="B33">
        <v>168</v>
      </c>
    </row>
    <row r="34" spans="1:2" x14ac:dyDescent="0.3">
      <c r="A34" t="s">
        <v>95</v>
      </c>
      <c r="B34">
        <v>166</v>
      </c>
    </row>
    <row r="35" spans="1:2" x14ac:dyDescent="0.3">
      <c r="A35" t="s">
        <v>96</v>
      </c>
      <c r="B35">
        <v>157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2BF2-FCE1-400D-A1E4-8098FC672537}">
  <dimension ref="A1:B49"/>
  <sheetViews>
    <sheetView workbookViewId="0">
      <selection activeCell="A39" sqref="A39:B49"/>
    </sheetView>
  </sheetViews>
  <sheetFormatPr defaultRowHeight="14.4" x14ac:dyDescent="0.3"/>
  <cols>
    <col min="1" max="1" width="13.5546875" bestFit="1" customWidth="1"/>
    <col min="2" max="2" width="21.44140625" bestFit="1" customWidth="1"/>
    <col min="5" max="5" width="12.44140625" bestFit="1" customWidth="1"/>
    <col min="6" max="6" width="25.44140625" bestFit="1" customWidth="1"/>
    <col min="12" max="12" width="12.44140625" bestFit="1" customWidth="1"/>
    <col min="13" max="13" width="13.109375" bestFit="1" customWidth="1"/>
  </cols>
  <sheetData>
    <row r="1" spans="1:2" x14ac:dyDescent="0.3">
      <c r="A1" t="s">
        <v>62</v>
      </c>
      <c r="B1" t="s">
        <v>97</v>
      </c>
    </row>
    <row r="2" spans="1:2" x14ac:dyDescent="0.3">
      <c r="A2" t="s">
        <v>72</v>
      </c>
      <c r="B2">
        <v>170874</v>
      </c>
    </row>
    <row r="3" spans="1:2" x14ac:dyDescent="0.3">
      <c r="A3" t="s">
        <v>70</v>
      </c>
      <c r="B3">
        <v>171003</v>
      </c>
    </row>
    <row r="4" spans="1:2" x14ac:dyDescent="0.3">
      <c r="A4" t="s">
        <v>69</v>
      </c>
      <c r="B4">
        <v>172538</v>
      </c>
    </row>
    <row r="5" spans="1:2" x14ac:dyDescent="0.3">
      <c r="A5" t="s">
        <v>73</v>
      </c>
      <c r="B5">
        <v>173312</v>
      </c>
    </row>
    <row r="6" spans="1:2" x14ac:dyDescent="0.3">
      <c r="A6" t="s">
        <v>67</v>
      </c>
      <c r="B6">
        <v>176667</v>
      </c>
    </row>
    <row r="7" spans="1:2" x14ac:dyDescent="0.3">
      <c r="A7" t="s">
        <v>68</v>
      </c>
      <c r="B7">
        <v>180852</v>
      </c>
    </row>
    <row r="8" spans="1:2" x14ac:dyDescent="0.3">
      <c r="A8" t="s">
        <v>66</v>
      </c>
      <c r="B8">
        <v>183189</v>
      </c>
    </row>
    <row r="9" spans="1:2" x14ac:dyDescent="0.3">
      <c r="A9" t="s">
        <v>65</v>
      </c>
      <c r="B9">
        <v>203032</v>
      </c>
    </row>
    <row r="10" spans="1:2" x14ac:dyDescent="0.3">
      <c r="A10" t="s">
        <v>64</v>
      </c>
      <c r="B10">
        <v>221555</v>
      </c>
    </row>
    <row r="11" spans="1:2" x14ac:dyDescent="0.3">
      <c r="A11" t="s">
        <v>63</v>
      </c>
      <c r="B11">
        <v>271648</v>
      </c>
    </row>
    <row r="12" spans="1:2" hidden="1" x14ac:dyDescent="0.3">
      <c r="A12" t="s">
        <v>74</v>
      </c>
      <c r="B12">
        <v>169291</v>
      </c>
    </row>
    <row r="13" spans="1:2" hidden="1" x14ac:dyDescent="0.3">
      <c r="A13" t="s">
        <v>75</v>
      </c>
      <c r="B13">
        <v>168835</v>
      </c>
    </row>
    <row r="14" spans="1:2" hidden="1" x14ac:dyDescent="0.3">
      <c r="A14" t="s">
        <v>77</v>
      </c>
      <c r="B14">
        <v>168659</v>
      </c>
    </row>
    <row r="15" spans="1:2" hidden="1" x14ac:dyDescent="0.3">
      <c r="A15" t="s">
        <v>76</v>
      </c>
      <c r="B15">
        <v>164382</v>
      </c>
    </row>
    <row r="16" spans="1:2" hidden="1" x14ac:dyDescent="0.3">
      <c r="A16" t="s">
        <v>82</v>
      </c>
      <c r="B16">
        <v>162930</v>
      </c>
    </row>
    <row r="17" spans="1:2" hidden="1" x14ac:dyDescent="0.3">
      <c r="A17" t="s">
        <v>81</v>
      </c>
      <c r="B17">
        <v>157236</v>
      </c>
    </row>
    <row r="18" spans="1:2" hidden="1" x14ac:dyDescent="0.3">
      <c r="A18" t="s">
        <v>88</v>
      </c>
      <c r="B18">
        <v>155243</v>
      </c>
    </row>
    <row r="19" spans="1:2" hidden="1" x14ac:dyDescent="0.3">
      <c r="A19" t="s">
        <v>79</v>
      </c>
      <c r="B19">
        <v>153015</v>
      </c>
    </row>
    <row r="20" spans="1:2" hidden="1" x14ac:dyDescent="0.3">
      <c r="A20" t="s">
        <v>71</v>
      </c>
      <c r="B20">
        <v>152294</v>
      </c>
    </row>
    <row r="21" spans="1:2" hidden="1" x14ac:dyDescent="0.3">
      <c r="A21" t="s">
        <v>84</v>
      </c>
      <c r="B21">
        <v>149369</v>
      </c>
    </row>
    <row r="22" spans="1:2" hidden="1" x14ac:dyDescent="0.3">
      <c r="A22" t="s">
        <v>80</v>
      </c>
      <c r="B22">
        <v>147749</v>
      </c>
    </row>
    <row r="23" spans="1:2" hidden="1" x14ac:dyDescent="0.3">
      <c r="A23" t="s">
        <v>78</v>
      </c>
      <c r="B23">
        <v>145939</v>
      </c>
    </row>
    <row r="24" spans="1:2" hidden="1" x14ac:dyDescent="0.3">
      <c r="A24" t="s">
        <v>87</v>
      </c>
      <c r="B24">
        <v>143923</v>
      </c>
    </row>
    <row r="25" spans="1:2" hidden="1" x14ac:dyDescent="0.3">
      <c r="A25" t="s">
        <v>85</v>
      </c>
      <c r="B25">
        <v>141222</v>
      </c>
    </row>
    <row r="26" spans="1:2" hidden="1" x14ac:dyDescent="0.3">
      <c r="A26" t="s">
        <v>89</v>
      </c>
      <c r="B26">
        <v>139512</v>
      </c>
    </row>
    <row r="27" spans="1:2" hidden="1" x14ac:dyDescent="0.3">
      <c r="A27" t="s">
        <v>83</v>
      </c>
      <c r="B27">
        <v>139024</v>
      </c>
    </row>
    <row r="28" spans="1:2" hidden="1" x14ac:dyDescent="0.3">
      <c r="A28" t="s">
        <v>90</v>
      </c>
      <c r="B28">
        <v>138639</v>
      </c>
    </row>
    <row r="29" spans="1:2" hidden="1" x14ac:dyDescent="0.3">
      <c r="A29" t="s">
        <v>86</v>
      </c>
      <c r="B29">
        <v>138322</v>
      </c>
    </row>
    <row r="30" spans="1:2" hidden="1" x14ac:dyDescent="0.3">
      <c r="A30" t="s">
        <v>94</v>
      </c>
      <c r="B30">
        <v>132654</v>
      </c>
    </row>
    <row r="31" spans="1:2" hidden="1" x14ac:dyDescent="0.3">
      <c r="A31" t="s">
        <v>93</v>
      </c>
      <c r="B31">
        <v>130021</v>
      </c>
    </row>
    <row r="32" spans="1:2" hidden="1" x14ac:dyDescent="0.3">
      <c r="A32" t="s">
        <v>92</v>
      </c>
      <c r="B32">
        <v>121501</v>
      </c>
    </row>
    <row r="33" spans="1:2" hidden="1" x14ac:dyDescent="0.3">
      <c r="A33" t="s">
        <v>91</v>
      </c>
      <c r="B33">
        <v>119408</v>
      </c>
    </row>
    <row r="34" spans="1:2" hidden="1" x14ac:dyDescent="0.3">
      <c r="A34" t="s">
        <v>95</v>
      </c>
      <c r="B34">
        <v>118470</v>
      </c>
    </row>
    <row r="35" spans="1:2" hidden="1" x14ac:dyDescent="0.3">
      <c r="A35" t="s">
        <v>96</v>
      </c>
      <c r="B35">
        <v>115940</v>
      </c>
    </row>
    <row r="39" spans="1:2" x14ac:dyDescent="0.3">
      <c r="A39" s="1" t="s">
        <v>62</v>
      </c>
      <c r="B39" s="1" t="s">
        <v>97</v>
      </c>
    </row>
    <row r="40" spans="1:2" x14ac:dyDescent="0.3">
      <c r="A40" t="str">
        <f t="shared" ref="A40:A49" si="0">A2</f>
        <v>Mumbai</v>
      </c>
      <c r="B40">
        <f t="shared" ref="B40:B49" si="1">B2/100000</f>
        <v>1.7087399999999999</v>
      </c>
    </row>
    <row r="41" spans="1:2" x14ac:dyDescent="0.3">
      <c r="A41" t="str">
        <f t="shared" si="0"/>
        <v>Faridabad</v>
      </c>
      <c r="B41">
        <f t="shared" si="1"/>
        <v>1.7100299999999999</v>
      </c>
    </row>
    <row r="42" spans="1:2" x14ac:dyDescent="0.3">
      <c r="A42" t="str">
        <f t="shared" si="0"/>
        <v>Calicut</v>
      </c>
      <c r="B42">
        <f t="shared" si="1"/>
        <v>1.7253799999999999</v>
      </c>
    </row>
    <row r="43" spans="1:2" x14ac:dyDescent="0.3">
      <c r="A43" t="str">
        <f t="shared" si="0"/>
        <v>Nashik</v>
      </c>
      <c r="B43">
        <f t="shared" si="1"/>
        <v>1.73312</v>
      </c>
    </row>
    <row r="44" spans="1:2" x14ac:dyDescent="0.3">
      <c r="A44" t="str">
        <f t="shared" si="0"/>
        <v>Delhi</v>
      </c>
      <c r="B44">
        <f t="shared" si="1"/>
        <v>1.76667</v>
      </c>
    </row>
    <row r="45" spans="1:2" x14ac:dyDescent="0.3">
      <c r="A45" t="str">
        <f t="shared" si="0"/>
        <v>Tiruppur</v>
      </c>
      <c r="B45">
        <f t="shared" si="1"/>
        <v>1.8085199999999999</v>
      </c>
    </row>
    <row r="46" spans="1:2" x14ac:dyDescent="0.3">
      <c r="A46" t="str">
        <f t="shared" si="0"/>
        <v>Thrissur</v>
      </c>
      <c r="B46">
        <f t="shared" si="1"/>
        <v>1.83189</v>
      </c>
    </row>
    <row r="47" spans="1:2" x14ac:dyDescent="0.3">
      <c r="A47" t="str">
        <f t="shared" si="0"/>
        <v>Madurai</v>
      </c>
      <c r="B47">
        <f t="shared" si="1"/>
        <v>2.0303200000000001</v>
      </c>
    </row>
    <row r="48" spans="1:2" x14ac:dyDescent="0.3">
      <c r="A48" t="str">
        <f t="shared" si="0"/>
        <v>Vijayawada</v>
      </c>
      <c r="B48">
        <f t="shared" si="1"/>
        <v>2.2155499999999999</v>
      </c>
    </row>
    <row r="49" spans="1:2" x14ac:dyDescent="0.3">
      <c r="A49" t="str">
        <f t="shared" si="0"/>
        <v>Vadodara</v>
      </c>
      <c r="B49">
        <f t="shared" si="1"/>
        <v>2.7164799999999998</v>
      </c>
    </row>
  </sheetData>
  <sortState xmlns:xlrd2="http://schemas.microsoft.com/office/spreadsheetml/2017/richdata2" ref="B40:B49">
    <sortCondition ref="B40:B49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36EA-7A9A-4E67-B666-C21DA7537535}">
  <dimension ref="A1:N35"/>
  <sheetViews>
    <sheetView topLeftCell="A2" workbookViewId="0">
      <selection activeCell="N5" sqref="N5"/>
    </sheetView>
  </sheetViews>
  <sheetFormatPr defaultRowHeight="14.4" x14ac:dyDescent="0.3"/>
  <cols>
    <col min="1" max="1" width="13.5546875" bestFit="1" customWidth="1"/>
    <col min="2" max="2" width="16.21875" customWidth="1"/>
    <col min="4" max="4" width="12.44140625" bestFit="1" customWidth="1"/>
    <col min="5" max="5" width="11.77734375" bestFit="1" customWidth="1"/>
    <col min="6" max="6" width="11.109375" bestFit="1" customWidth="1"/>
  </cols>
  <sheetData>
    <row r="1" spans="1:14" x14ac:dyDescent="0.3">
      <c r="A1" s="7" t="s">
        <v>62</v>
      </c>
      <c r="B1" s="7" t="s">
        <v>52</v>
      </c>
    </row>
    <row r="2" spans="1:14" x14ac:dyDescent="0.3">
      <c r="A2" s="5" t="s">
        <v>90</v>
      </c>
      <c r="B2" s="5" t="s">
        <v>61</v>
      </c>
    </row>
    <row r="3" spans="1:14" x14ac:dyDescent="0.3">
      <c r="A3" s="4" t="s">
        <v>82</v>
      </c>
      <c r="B3" s="4" t="s">
        <v>61</v>
      </c>
      <c r="D3" s="2" t="s">
        <v>100</v>
      </c>
      <c r="E3" t="s">
        <v>110</v>
      </c>
    </row>
    <row r="4" spans="1:14" x14ac:dyDescent="0.3">
      <c r="A4" s="5" t="s">
        <v>86</v>
      </c>
      <c r="B4" s="5" t="s">
        <v>57</v>
      </c>
      <c r="D4" s="3" t="s">
        <v>61</v>
      </c>
      <c r="E4">
        <v>9</v>
      </c>
    </row>
    <row r="5" spans="1:14" x14ac:dyDescent="0.3">
      <c r="A5" s="4" t="s">
        <v>71</v>
      </c>
      <c r="B5" s="4" t="s">
        <v>58</v>
      </c>
      <c r="D5" s="3" t="s">
        <v>59</v>
      </c>
      <c r="E5">
        <v>4</v>
      </c>
    </row>
    <row r="6" spans="1:14" x14ac:dyDescent="0.3">
      <c r="A6" s="5" t="s">
        <v>69</v>
      </c>
      <c r="B6" s="5" t="s">
        <v>53</v>
      </c>
      <c r="D6" s="3" t="s">
        <v>56</v>
      </c>
      <c r="E6">
        <v>4</v>
      </c>
    </row>
    <row r="7" spans="1:14" x14ac:dyDescent="0.3">
      <c r="A7" s="4" t="s">
        <v>74</v>
      </c>
      <c r="B7" s="4" t="s">
        <v>54</v>
      </c>
      <c r="D7" s="3" t="s">
        <v>53</v>
      </c>
      <c r="E7">
        <v>3</v>
      </c>
    </row>
    <row r="8" spans="1:14" x14ac:dyDescent="0.3">
      <c r="A8" s="5" t="s">
        <v>87</v>
      </c>
      <c r="B8" s="5" t="s">
        <v>98</v>
      </c>
      <c r="D8" s="3" t="s">
        <v>54</v>
      </c>
      <c r="E8">
        <v>3</v>
      </c>
    </row>
    <row r="9" spans="1:14" x14ac:dyDescent="0.3">
      <c r="A9" s="4" t="s">
        <v>79</v>
      </c>
      <c r="B9" s="4" t="s">
        <v>55</v>
      </c>
      <c r="D9" s="3" t="s">
        <v>60</v>
      </c>
      <c r="E9">
        <v>3</v>
      </c>
    </row>
    <row r="10" spans="1:14" x14ac:dyDescent="0.3">
      <c r="A10" s="5" t="s">
        <v>67</v>
      </c>
      <c r="B10" s="5" t="s">
        <v>61</v>
      </c>
      <c r="D10" s="3" t="s">
        <v>58</v>
      </c>
      <c r="E10">
        <v>3</v>
      </c>
    </row>
    <row r="11" spans="1:14" x14ac:dyDescent="0.3">
      <c r="A11" s="4" t="s">
        <v>94</v>
      </c>
      <c r="B11" s="4" t="s">
        <v>61</v>
      </c>
      <c r="D11" s="3" t="s">
        <v>57</v>
      </c>
      <c r="E11">
        <v>2</v>
      </c>
    </row>
    <row r="12" spans="1:14" x14ac:dyDescent="0.3">
      <c r="A12" s="5" t="s">
        <v>70</v>
      </c>
      <c r="B12" s="5" t="s">
        <v>53</v>
      </c>
      <c r="D12" s="3" t="s">
        <v>98</v>
      </c>
      <c r="E12">
        <v>2</v>
      </c>
    </row>
    <row r="13" spans="1:14" x14ac:dyDescent="0.3">
      <c r="A13" s="4" t="s">
        <v>88</v>
      </c>
      <c r="B13" s="4" t="s">
        <v>54</v>
      </c>
      <c r="D13" s="3" t="s">
        <v>55</v>
      </c>
      <c r="E13">
        <v>1</v>
      </c>
      <c r="N13" s="8"/>
    </row>
    <row r="14" spans="1:14" x14ac:dyDescent="0.3">
      <c r="A14" s="5" t="s">
        <v>89</v>
      </c>
      <c r="B14" s="5" t="s">
        <v>61</v>
      </c>
      <c r="D14" s="3" t="s">
        <v>101</v>
      </c>
      <c r="E14">
        <v>34</v>
      </c>
    </row>
    <row r="15" spans="1:14" x14ac:dyDescent="0.3">
      <c r="A15" s="4" t="s">
        <v>84</v>
      </c>
      <c r="B15" s="4" t="s">
        <v>58</v>
      </c>
    </row>
    <row r="16" spans="1:14" x14ac:dyDescent="0.3">
      <c r="A16" s="5" t="s">
        <v>76</v>
      </c>
      <c r="B16" s="5" t="s">
        <v>61</v>
      </c>
    </row>
    <row r="17" spans="1:2" x14ac:dyDescent="0.3">
      <c r="A17" s="4" t="s">
        <v>93</v>
      </c>
      <c r="B17" s="4" t="s">
        <v>59</v>
      </c>
    </row>
    <row r="18" spans="1:2" x14ac:dyDescent="0.3">
      <c r="A18" s="5" t="s">
        <v>91</v>
      </c>
      <c r="B18" s="5" t="s">
        <v>60</v>
      </c>
    </row>
    <row r="19" spans="1:2" x14ac:dyDescent="0.3">
      <c r="A19" s="4" t="s">
        <v>81</v>
      </c>
      <c r="B19" s="4" t="s">
        <v>60</v>
      </c>
    </row>
    <row r="20" spans="1:2" x14ac:dyDescent="0.3">
      <c r="A20" s="5" t="s">
        <v>77</v>
      </c>
      <c r="B20" s="5" t="s">
        <v>56</v>
      </c>
    </row>
    <row r="21" spans="1:2" x14ac:dyDescent="0.3">
      <c r="A21" s="4" t="s">
        <v>85</v>
      </c>
      <c r="B21" s="4" t="s">
        <v>98</v>
      </c>
    </row>
    <row r="22" spans="1:2" x14ac:dyDescent="0.3">
      <c r="A22" s="5" t="s">
        <v>65</v>
      </c>
      <c r="B22" s="5" t="s">
        <v>59</v>
      </c>
    </row>
    <row r="23" spans="1:2" x14ac:dyDescent="0.3">
      <c r="A23" s="4" t="s">
        <v>72</v>
      </c>
      <c r="B23" s="4" t="s">
        <v>57</v>
      </c>
    </row>
    <row r="24" spans="1:2" x14ac:dyDescent="0.3">
      <c r="A24" s="5" t="s">
        <v>75</v>
      </c>
      <c r="B24" s="5" t="s">
        <v>61</v>
      </c>
    </row>
    <row r="25" spans="1:2" x14ac:dyDescent="0.3">
      <c r="A25" s="4" t="s">
        <v>73</v>
      </c>
      <c r="B25" s="4" t="s">
        <v>56</v>
      </c>
    </row>
    <row r="26" spans="1:2" x14ac:dyDescent="0.3">
      <c r="A26" s="5" t="s">
        <v>78</v>
      </c>
      <c r="B26" s="5" t="s">
        <v>56</v>
      </c>
    </row>
    <row r="27" spans="1:2" x14ac:dyDescent="0.3">
      <c r="A27" s="4" t="s">
        <v>83</v>
      </c>
      <c r="B27" s="4" t="s">
        <v>56</v>
      </c>
    </row>
    <row r="28" spans="1:2" x14ac:dyDescent="0.3">
      <c r="A28" s="5" t="s">
        <v>96</v>
      </c>
      <c r="B28" s="5" t="s">
        <v>59</v>
      </c>
    </row>
    <row r="29" spans="1:2" x14ac:dyDescent="0.3">
      <c r="A29" s="4" t="s">
        <v>80</v>
      </c>
      <c r="B29" s="4" t="s">
        <v>54</v>
      </c>
    </row>
    <row r="30" spans="1:2" x14ac:dyDescent="0.3">
      <c r="A30" s="5" t="s">
        <v>66</v>
      </c>
      <c r="B30" s="5" t="s">
        <v>58</v>
      </c>
    </row>
    <row r="31" spans="1:2" x14ac:dyDescent="0.3">
      <c r="A31" s="4" t="s">
        <v>68</v>
      </c>
      <c r="B31" s="4" t="s">
        <v>59</v>
      </c>
    </row>
    <row r="32" spans="1:2" x14ac:dyDescent="0.3">
      <c r="A32" s="5" t="s">
        <v>95</v>
      </c>
      <c r="B32" s="5" t="s">
        <v>61</v>
      </c>
    </row>
    <row r="33" spans="1:2" x14ac:dyDescent="0.3">
      <c r="A33" s="4" t="s">
        <v>63</v>
      </c>
      <c r="B33" s="4" t="s">
        <v>61</v>
      </c>
    </row>
    <row r="34" spans="1:2" x14ac:dyDescent="0.3">
      <c r="A34" s="5" t="s">
        <v>64</v>
      </c>
      <c r="B34" s="5" t="s">
        <v>60</v>
      </c>
    </row>
    <row r="35" spans="1:2" x14ac:dyDescent="0.3">
      <c r="A35" s="4" t="s">
        <v>92</v>
      </c>
      <c r="B35" s="4" t="s">
        <v>53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A5C1-1D1B-4821-8981-EAFFE3903823}">
  <dimension ref="A1:P22"/>
  <sheetViews>
    <sheetView workbookViewId="0">
      <selection activeCell="L23" sqref="L23"/>
    </sheetView>
  </sheetViews>
  <sheetFormatPr defaultRowHeight="14.4" x14ac:dyDescent="0.3"/>
  <sheetData>
    <row r="1" spans="1:15" x14ac:dyDescent="0.3">
      <c r="A1" s="9" t="s">
        <v>99</v>
      </c>
      <c r="B1" s="9"/>
      <c r="C1" s="9"/>
      <c r="D1" s="9"/>
      <c r="E1" s="9"/>
      <c r="K1" s="9" t="s">
        <v>105</v>
      </c>
      <c r="L1" s="9"/>
      <c r="M1" s="9"/>
      <c r="N1" s="9"/>
      <c r="O1" s="9"/>
    </row>
    <row r="22" spans="2:16" x14ac:dyDescent="0.3">
      <c r="B22" s="9" t="s">
        <v>106</v>
      </c>
      <c r="C22" s="9"/>
      <c r="D22" s="9"/>
      <c r="E22" s="9"/>
      <c r="F22" s="9"/>
      <c r="L22" s="9" t="s">
        <v>107</v>
      </c>
      <c r="M22" s="9"/>
      <c r="N22" s="9"/>
      <c r="O22" s="9"/>
      <c r="P22" s="9"/>
    </row>
  </sheetData>
  <mergeCells count="4">
    <mergeCell ref="A1:E1"/>
    <mergeCell ref="K1:O1"/>
    <mergeCell ref="B22:F22"/>
    <mergeCell ref="L22:P2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DE5C-9C09-43E7-A857-FB1983F68A19}">
  <dimension ref="W7:W39"/>
  <sheetViews>
    <sheetView tabSelected="1" zoomScaleNormal="100" workbookViewId="0">
      <selection activeCell="W30" sqref="W30"/>
    </sheetView>
  </sheetViews>
  <sheetFormatPr defaultRowHeight="14.4" x14ac:dyDescent="0.3"/>
  <sheetData>
    <row r="7" customFormat="1" x14ac:dyDescent="0.3"/>
    <row r="39" spans="23:23" x14ac:dyDescent="0.3">
      <c r="W39">
        <f>33.87/2</f>
        <v>16.934999999999999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186E66-99A1-4521-8236-4A750F8FBF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 SESSIONS BY PROFESSION</vt:lpstr>
      <vt:lpstr>2  TOK BY PR</vt:lpstr>
      <vt:lpstr>3  AVG PR DU</vt:lpstr>
      <vt:lpstr>4  FAVORITE AI TOOLS BY PRO</vt:lpstr>
      <vt:lpstr>5  SESSIONS BY CITY</vt:lpstr>
      <vt:lpstr>6  TOKENS BY CITY</vt:lpstr>
      <vt:lpstr>7  FAVORITE AI TOOL BY CITY</vt:lpstr>
      <vt:lpstr>CALCULATIONS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AKASH</dc:creator>
  <cp:lastModifiedBy>L. AKASH</cp:lastModifiedBy>
  <dcterms:created xsi:type="dcterms:W3CDTF">2026-07-24T05:54:38Z</dcterms:created>
  <dcterms:modified xsi:type="dcterms:W3CDTF">2026-07-24T17:00:04Z</dcterms:modified>
</cp:coreProperties>
</file>