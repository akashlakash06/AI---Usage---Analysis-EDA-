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kash\PROJECT\EXCELL WORKBOOK\"/>
    </mc:Choice>
  </mc:AlternateContent>
  <xr:revisionPtr revIDLastSave="0" documentId="13_ncr:1_{229AFB36-0A50-4804-80D4-8C90D6722055}" xr6:coauthVersionLast="47" xr6:coauthVersionMax="47" xr10:uidLastSave="{00000000-0000-0000-0000-000000000000}"/>
  <bookViews>
    <workbookView xWindow="-108" yWindow="-108" windowWidth="23256" windowHeight="12456" firstSheet="6" activeTab="9" xr2:uid="{6D80CFA6-582E-4199-A98F-4014EF6C1FBF}"/>
  </bookViews>
  <sheets>
    <sheet name="1 TOP 10 USERS" sheetId="2" r:id="rId1"/>
    <sheet name="2  TOP 10 USERS BY SESSION TIME" sheetId="3" r:id="rId2"/>
    <sheet name="3  TOP 10 USERS BY TOKEN USED" sheetId="4" r:id="rId3"/>
    <sheet name="4  AVG SESSSION PER USER" sheetId="5" r:id="rId4"/>
    <sheet name="5 AVG TOKEN PER USER" sheetId="6" r:id="rId5"/>
    <sheet name="6  MULTIPLE TOOL USERS" sheetId="7" r:id="rId6"/>
    <sheet name="7  MOST ACTIVE PROFESSION" sheetId="8" r:id="rId7"/>
    <sheet name="8  MOST ACTIVE CITY" sheetId="9" r:id="rId8"/>
    <sheet name="CALCULATIONS" sheetId="1" r:id="rId9"/>
    <sheet name="DASH" sheetId="10" r:id="rId10"/>
  </sheets>
  <definedNames>
    <definedName name="ExternalData_1" localSheetId="0" hidden="1">'1 TOP 10 USERS'!$A$1:$J$11</definedName>
    <definedName name="ExternalData_1" localSheetId="1" hidden="1">'2  TOP 10 USERS BY SESSION TIME'!$A$1:$C$11</definedName>
    <definedName name="ExternalData_1" localSheetId="2" hidden="1">'3  TOP 10 USERS BY TOKEN USED'!$A$1:$C$11</definedName>
    <definedName name="ExternalData_1" localSheetId="3" hidden="1">'4  AVG SESSSION PER USER'!$A$1:$A$2</definedName>
    <definedName name="ExternalData_1" localSheetId="4" hidden="1">'5 AVG TOKEN PER USER'!$A$1:$A$2</definedName>
    <definedName name="ExternalData_1" localSheetId="6" hidden="1">'7  MOST ACTIVE PROFESSION'!$A$1:$B$2</definedName>
    <definedName name="ExternalData_1" localSheetId="7" hidden="1">'8  MOST ACTIVE CITY'!$A$1:$D$2</definedName>
  </definedNames>
  <calcPr calcId="191029"/>
  <pivotCaches>
    <pivotCache cacheId="0" r:id="rId11"/>
    <pivotCache cacheId="50" r:id="rId12"/>
    <pivotCache cacheId="5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9" l="1" a="1"/>
  <c r="C6" i="9" a="1"/>
  <c r="B6" i="9" a="1"/>
  <c r="A6" i="9" a="1"/>
  <c r="B6" i="8" a="1"/>
  <c r="A6" i="8" a="1"/>
  <c r="A5" i="6" a="1"/>
  <c r="A6" i="5" a="1"/>
  <c r="X21" i="10"/>
  <c r="G11" i="1"/>
  <c r="G12" i="1"/>
  <c r="G10" i="1"/>
  <c r="G9" i="1"/>
  <c r="G8" i="1"/>
  <c r="G4" i="1"/>
  <c r="G5" i="1"/>
  <c r="G6" i="1"/>
  <c r="G7" i="1"/>
  <c r="G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2CE7BE-1E1C-43EA-82EF-BE2670DD278B}" keepAlive="1" name="Query - 1 TOP 10 USERS" description="Connection to the '1 TOP 10 USERS' query in the workbook." type="5" refreshedVersion="8" background="1" saveData="1">
    <dbPr connection="Provider=Microsoft.Mashup.OleDb.1;Data Source=$Workbook$;Location=&quot;1 TOP 10 USERS&quot;;Extended Properties=&quot;&quot;" command="SELECT * FROM [1 TOP 10 USERS]"/>
  </connection>
  <connection id="2" xr16:uid="{69D94CAD-788F-4456-97AE-9282B122A8E8}" keepAlive="1" name="Query - 2  TOP 10 USERS BY SESSION TIME" description="Connection to the '2  TOP 10 USERS BY SESSION TIME' query in the workbook." type="5" refreshedVersion="8" background="1" saveData="1">
    <dbPr connection="Provider=Microsoft.Mashup.OleDb.1;Data Source=$Workbook$;Location=&quot;2  TOP 10 USERS BY SESSION TIME&quot;;Extended Properties=&quot;&quot;" command="SELECT * FROM [2  TOP 10 USERS BY SESSION TIME]"/>
  </connection>
  <connection id="3" xr16:uid="{A0F1EABE-7533-49E5-8E5D-7B09A693FA47}" keepAlive="1" name="Query - 2  TOP 10 USERS BY SESSION TIME (2)" description="Connection to the '2  TOP 10 USERS BY SESSION TIME (2)' query in the workbook." type="5" refreshedVersion="8" background="1" saveData="1">
    <dbPr connection="Provider=Microsoft.Mashup.OleDb.1;Data Source=$Workbook$;Location=&quot;2  TOP 10 USERS BY SESSION TIME (2)&quot;;Extended Properties=&quot;&quot;" command="SELECT * FROM [2  TOP 10 USERS BY SESSION TIME (2)]"/>
  </connection>
  <connection id="4" xr16:uid="{95B8E28C-02AC-488A-832B-FF4D6AA8A020}" keepAlive="1" name="Query - 3  TOP 10 USERS BY TOKEN USED" description="Connection to the '3  TOP 10 USERS BY TOKEN USED' query in the workbook." type="5" refreshedVersion="8" background="1" saveData="1">
    <dbPr connection="Provider=Microsoft.Mashup.OleDb.1;Data Source=$Workbook$;Location=&quot;3  TOP 10 USERS BY TOKEN USED&quot;;Extended Properties=&quot;&quot;" command="SELECT * FROM [3  TOP 10 USERS BY TOKEN USED]"/>
  </connection>
  <connection id="5" xr16:uid="{C72EDC99-07E2-47DF-A725-875669143ECE}" keepAlive="1" name="Query - 4  AVG SESSSION PER USER" description="Connection to the '4  AVG SESSSION PER USER' query in the workbook." type="5" refreshedVersion="8" background="1" saveData="1">
    <dbPr connection="Provider=Microsoft.Mashup.OleDb.1;Data Source=$Workbook$;Location=&quot;4  AVG SESSSION PER USER&quot;;Extended Properties=&quot;&quot;" command="SELECT * FROM [4  AVG SESSSION PER USER]"/>
  </connection>
  <connection id="6" xr16:uid="{EBB2DA71-C919-4EAF-92A9-1F222B9BCB68}" keepAlive="1" name="Query - 5 AVG TOKEN PER USER" description="Connection to the '5 AVG TOKEN PER USER' query in the workbook." type="5" refreshedVersion="8" background="1" saveData="1">
    <dbPr connection="Provider=Microsoft.Mashup.OleDb.1;Data Source=$Workbook$;Location=&quot;5 AVG TOKEN PER USER&quot;;Extended Properties=&quot;&quot;" command="SELECT * FROM [5 AVG TOKEN PER USER]"/>
  </connection>
  <connection id="7" xr16:uid="{CF3019B2-89A0-471E-B2A6-4957BECBDD51}" keepAlive="1" name="Query - 6  MULTIPLE TOOL USERS" description="Connection to the '6  MULTIPLE TOOL USERS' query in the workbook." type="5" refreshedVersion="8" background="1" saveData="1">
    <dbPr connection="Provider=Microsoft.Mashup.OleDb.1;Data Source=$Workbook$;Location=&quot;6  MULTIPLE TOOL USERS&quot;;Extended Properties=&quot;&quot;" command="SELECT * FROM [6  MULTIPLE TOOL USERS]"/>
  </connection>
  <connection id="8" xr16:uid="{C383058B-F534-4B61-ADA0-4840EE1B63B7}" keepAlive="1" name="Query - 7  MOST ACTIVE PROFESSION" description="Connection to the '7  MOST ACTIVE PROFESSION' query in the workbook." type="5" refreshedVersion="8" background="1" saveData="1">
    <dbPr connection="Provider=Microsoft.Mashup.OleDb.1;Data Source=$Workbook$;Location=&quot;7  MOST ACTIVE PROFESSION&quot;;Extended Properties=&quot;&quot;" command="SELECT * FROM [7  MOST ACTIVE PROFESSION]"/>
  </connection>
  <connection id="9" xr16:uid="{1A51F736-9D18-45DF-9927-262DCC91D789}" keepAlive="1" name="Query - 8  MOST ACTIVE CITY" description="Connection to the '8  MOST ACTIVE CITY' query in the workbook." type="5" refreshedVersion="8" background="1" saveData="1">
    <dbPr connection="Provider=Microsoft.Mashup.OleDb.1;Data Source=$Workbook$;Location=&quot;8  MOST ACTIVE CITY&quot;;Extended Properties=&quot;&quot;" command="SELECT * FROM [8  MOST ACTIVE CIT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<sst xmlns="http://schemas.openxmlformats.org/spreadsheetml/2006/main" count="339" uniqueCount="203">
  <si>
    <t>OVERALL_RANK</t>
  </si>
  <si>
    <t>USER_ID</t>
  </si>
  <si>
    <t>USER_NAME</t>
  </si>
  <si>
    <t>CITY</t>
  </si>
  <si>
    <t>TOTAL_TOOLS_USED</t>
  </si>
  <si>
    <t>TOTAL_SESSION</t>
  </si>
  <si>
    <t>TOTAL_PROMPT</t>
  </si>
  <si>
    <t>TOTAL_TOKEN_USED</t>
  </si>
  <si>
    <t>TOTAL_DAYS</t>
  </si>
  <si>
    <t>TOTAL_DURATION</t>
  </si>
  <si>
    <t>U0830</t>
  </si>
  <si>
    <t>Venkat Das</t>
  </si>
  <si>
    <t>Ludhiana</t>
  </si>
  <si>
    <t>55Hour52Min</t>
  </si>
  <si>
    <t>U1898</t>
  </si>
  <si>
    <t>Rahul Srivastava</t>
  </si>
  <si>
    <t>Indore</t>
  </si>
  <si>
    <t>56Hour3Min</t>
  </si>
  <si>
    <t>U0270</t>
  </si>
  <si>
    <t>Krishna Gupta</t>
  </si>
  <si>
    <t>Madurai</t>
  </si>
  <si>
    <t>42Hour25Min</t>
  </si>
  <si>
    <t>U0330</t>
  </si>
  <si>
    <t>Priya Varma</t>
  </si>
  <si>
    <t>37Hour34Min</t>
  </si>
  <si>
    <t>U0805</t>
  </si>
  <si>
    <t>Vikas Verma</t>
  </si>
  <si>
    <t>Faridabad</t>
  </si>
  <si>
    <t>42Hour38Min</t>
  </si>
  <si>
    <t>U0567</t>
  </si>
  <si>
    <t>Vikram Kumar</t>
  </si>
  <si>
    <t>Vadodara</t>
  </si>
  <si>
    <t>73Hour13Min</t>
  </si>
  <si>
    <t>U0578</t>
  </si>
  <si>
    <t>Raj Chopra</t>
  </si>
  <si>
    <t>47Hour11Min</t>
  </si>
  <si>
    <t>U0807</t>
  </si>
  <si>
    <t>Asha Sharma</t>
  </si>
  <si>
    <t>Delhi</t>
  </si>
  <si>
    <t>50Hour26Min</t>
  </si>
  <si>
    <t>U1048</t>
  </si>
  <si>
    <t>Anita Bhat</t>
  </si>
  <si>
    <t>Kochi</t>
  </si>
  <si>
    <t>59Hour43Min</t>
  </si>
  <si>
    <t>U0264</t>
  </si>
  <si>
    <t>Pooja Das</t>
  </si>
  <si>
    <t>Ghaziabad</t>
  </si>
  <si>
    <t>39Hour25Min</t>
  </si>
  <si>
    <t>NAME</t>
  </si>
  <si>
    <t>TOTAL_SESSION_TIME</t>
  </si>
  <si>
    <t>U2245</t>
  </si>
  <si>
    <t>Naresh Singh</t>
  </si>
  <si>
    <t>9hour8min</t>
  </si>
  <si>
    <t>U0022</t>
  </si>
  <si>
    <t>Meena Agarwal</t>
  </si>
  <si>
    <t>U0693</t>
  </si>
  <si>
    <t>Sneha Sinha</t>
  </si>
  <si>
    <t>U0444</t>
  </si>
  <si>
    <t>Suma Verma</t>
  </si>
  <si>
    <t>U2155</t>
  </si>
  <si>
    <t>Naresh Malhotra</t>
  </si>
  <si>
    <t>U2221</t>
  </si>
  <si>
    <t>Amit Tripathi</t>
  </si>
  <si>
    <t>9hour6min</t>
  </si>
  <si>
    <t>U2247</t>
  </si>
  <si>
    <t>Sandhya Tiwari</t>
  </si>
  <si>
    <t>U2490</t>
  </si>
  <si>
    <t>Madhav Singh</t>
  </si>
  <si>
    <t>9hour5min</t>
  </si>
  <si>
    <t>U0189</t>
  </si>
  <si>
    <t>Anita Reddy</t>
  </si>
  <si>
    <t>U1303</t>
  </si>
  <si>
    <t>Kavya Srivastava</t>
  </si>
  <si>
    <t>TOTAL_TOKEN</t>
  </si>
  <si>
    <t>U0627</t>
  </si>
  <si>
    <t>Manoj Singh</t>
  </si>
  <si>
    <t>U1603</t>
  </si>
  <si>
    <t>Mohan Agarwal</t>
  </si>
  <si>
    <t>U0293</t>
  </si>
  <si>
    <t>Arun Sharma</t>
  </si>
  <si>
    <t>U1545</t>
  </si>
  <si>
    <t>Swati Singh</t>
  </si>
  <si>
    <t>U2140</t>
  </si>
  <si>
    <t>Isha Tiwari</t>
  </si>
  <si>
    <t>U0718</t>
  </si>
  <si>
    <t>Arjun Desai</t>
  </si>
  <si>
    <t>U0502</t>
  </si>
  <si>
    <t>Kavya Sharma</t>
  </si>
  <si>
    <t>AVG_SESSIONS</t>
  </si>
  <si>
    <t>AVG_TOKEN</t>
  </si>
  <si>
    <t>TOOL_COUNT</t>
  </si>
  <si>
    <t>U1378</t>
  </si>
  <si>
    <t>U1307</t>
  </si>
  <si>
    <t>Rahul Kapoor</t>
  </si>
  <si>
    <t>U0129</t>
  </si>
  <si>
    <t>Kavya Pandey</t>
  </si>
  <si>
    <t>U0351</t>
  </si>
  <si>
    <t>Sakshi Singh</t>
  </si>
  <si>
    <t>U0996</t>
  </si>
  <si>
    <t>Asha Das</t>
  </si>
  <si>
    <t>U0449</t>
  </si>
  <si>
    <t>Lakshmi Verma</t>
  </si>
  <si>
    <t>U1907</t>
  </si>
  <si>
    <t>Anita Kumar</t>
  </si>
  <si>
    <t>U2350</t>
  </si>
  <si>
    <t>Nisha Singh</t>
  </si>
  <si>
    <t>U2363</t>
  </si>
  <si>
    <t>Ashok Kapoor</t>
  </si>
  <si>
    <t>U0367</t>
  </si>
  <si>
    <t>Rupali Singh</t>
  </si>
  <si>
    <t>U0377</t>
  </si>
  <si>
    <t>Sanjay Singh</t>
  </si>
  <si>
    <t>U0480</t>
  </si>
  <si>
    <t>Arvind Saxena</t>
  </si>
  <si>
    <t>U0664</t>
  </si>
  <si>
    <t>Rupali Tiwari</t>
  </si>
  <si>
    <t>U0716</t>
  </si>
  <si>
    <t>Sneha Reddy</t>
  </si>
  <si>
    <t>U0740</t>
  </si>
  <si>
    <t>Arjun Yadav</t>
  </si>
  <si>
    <t>U0899</t>
  </si>
  <si>
    <t>Amit Kapoor</t>
  </si>
  <si>
    <t>U0903</t>
  </si>
  <si>
    <t>Arjun Gupta</t>
  </si>
  <si>
    <t>U1026</t>
  </si>
  <si>
    <t>Pavan Chopra</t>
  </si>
  <si>
    <t>U1079</t>
  </si>
  <si>
    <t>Karthik Sharma</t>
  </si>
  <si>
    <t>U1094</t>
  </si>
  <si>
    <t>Venkat Pandit</t>
  </si>
  <si>
    <t>U1281</t>
  </si>
  <si>
    <t>Pavan Kapoor</t>
  </si>
  <si>
    <t>U1309</t>
  </si>
  <si>
    <t>Suresh Desai</t>
  </si>
  <si>
    <t>U1356</t>
  </si>
  <si>
    <t>Vishal Malhotra</t>
  </si>
  <si>
    <t>U1370</t>
  </si>
  <si>
    <t>U1468</t>
  </si>
  <si>
    <t>Madhav Dutta</t>
  </si>
  <si>
    <t>U1473</t>
  </si>
  <si>
    <t>Ramesh Yadav</t>
  </si>
  <si>
    <t>U1580</t>
  </si>
  <si>
    <t>Anjali Pillai</t>
  </si>
  <si>
    <t>U1664</t>
  </si>
  <si>
    <t>Vikas Pandey</t>
  </si>
  <si>
    <t>U1680</t>
  </si>
  <si>
    <t>Nisha Verma</t>
  </si>
  <si>
    <t>U1716</t>
  </si>
  <si>
    <t>Dinesh Dutta</t>
  </si>
  <si>
    <t>U1719</t>
  </si>
  <si>
    <t>Shreya Tripathi</t>
  </si>
  <si>
    <t>U1728</t>
  </si>
  <si>
    <t>Naresh Mishra</t>
  </si>
  <si>
    <t>U1819</t>
  </si>
  <si>
    <t>Naresh Pandey</t>
  </si>
  <si>
    <t>U1821</t>
  </si>
  <si>
    <t>Arjun Singh</t>
  </si>
  <si>
    <t>U0048</t>
  </si>
  <si>
    <t>Mohan Verma</t>
  </si>
  <si>
    <t>U1918</t>
  </si>
  <si>
    <t>Vikas Saxena</t>
  </si>
  <si>
    <t>U1927</t>
  </si>
  <si>
    <t>Priya Rao</t>
  </si>
  <si>
    <t>U2000</t>
  </si>
  <si>
    <t>Neha Verma</t>
  </si>
  <si>
    <t>U2010</t>
  </si>
  <si>
    <t>Dinesh Gupta</t>
  </si>
  <si>
    <t>U2025</t>
  </si>
  <si>
    <t>Asha Gupta</t>
  </si>
  <si>
    <t>U2123</t>
  </si>
  <si>
    <t>Ananya Malhotra</t>
  </si>
  <si>
    <t>U2130</t>
  </si>
  <si>
    <t>U2194</t>
  </si>
  <si>
    <t>Isha Chopra</t>
  </si>
  <si>
    <t>U2237</t>
  </si>
  <si>
    <t>Anjali Bhat</t>
  </si>
  <si>
    <t>U2333</t>
  </si>
  <si>
    <t>Pragya Malhotra</t>
  </si>
  <si>
    <t>U2340</t>
  </si>
  <si>
    <t>Madhav Iyer</t>
  </si>
  <si>
    <t>U0292</t>
  </si>
  <si>
    <t>Asha Rao</t>
  </si>
  <si>
    <t>U2360</t>
  </si>
  <si>
    <t>Asha Iyer</t>
  </si>
  <si>
    <t>U0314</t>
  </si>
  <si>
    <t>Raj Singh</t>
  </si>
  <si>
    <t>U2376</t>
  </si>
  <si>
    <t>Vikram Iyer</t>
  </si>
  <si>
    <t>U2382</t>
  </si>
  <si>
    <t>MOST_ACTIVE_PROFESSION</t>
  </si>
  <si>
    <t>Legal Advisor</t>
  </si>
  <si>
    <t>MOST_ACTIVE_CITY</t>
  </si>
  <si>
    <t>TOTAL_USERS</t>
  </si>
  <si>
    <t>TOTAL_SESSIONS</t>
  </si>
  <si>
    <t>Grand Total</t>
  </si>
  <si>
    <t>USER ID</t>
  </si>
  <si>
    <t xml:space="preserve"> TOTAL_PROMPTS</t>
  </si>
  <si>
    <t>1.TOP 10 USERS</t>
  </si>
  <si>
    <t>2.TOP 10 USERS BY SESSION TIME</t>
  </si>
  <si>
    <t>DURATION TIME</t>
  </si>
  <si>
    <t>Row Labels</t>
  </si>
  <si>
    <t>Sum of TOOL_COUNT</t>
  </si>
  <si>
    <t>Sum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</si>
</sst>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&quot;h&quot;\ mm&quot;m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0" fillId="0" borderId="1" xfId="0" pivotButton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2" fillId="5" borderId="8" xfId="0" applyFont="1" applyFill="1" applyBorder="1"/>
    <xf numFmtId="0" fontId="2" fillId="5" borderId="9" xfId="0" applyFont="1" applyFill="1" applyBorder="1"/>
    <xf numFmtId="0" fontId="2" fillId="5" borderId="10" xfId="0" applyFont="1" applyFill="1" applyBorder="1"/>
    <xf numFmtId="0" fontId="0" fillId="6" borderId="8" xfId="0" applyFont="1" applyFill="1" applyBorder="1"/>
    <xf numFmtId="0" fontId="0" fillId="6" borderId="9" xfId="0" applyFont="1" applyFill="1" applyBorder="1"/>
    <xf numFmtId="0" fontId="0" fillId="6" borderId="10" xfId="0" applyFont="1" applyFill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132080</xdr:colOff>
      <xdr:row>9</xdr:row>
      <xdr:rowOff>52493</xdr:rowOff>
    </xdr:from>
    <xdr:to>
      <xdr:col>20</xdr:col>
      <xdr:colOff>132080</xdr:colOff>
      <xdr:row>42</xdr:row>
      <xdr:rowOff>121821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BDAEE1C-FFA5-1B74-4932-EEAB3984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" y="1728893"/>
          <a:ext cx="12192000" cy="621612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3.506712847222" createdVersion="8" refreshedVersion="8" minRefreshableVersion="3" recordCount="10" xr:uid="{6D6B986D-E2A1-45E6-AE4E-85E98CFE960E}">
  <cacheSource type="worksheet">
    <worksheetSource name="Table9"/>
  </cacheSource>
  <cacheFields count="5">
    <cacheField name="USER ID" numFmtId="0">
      <sharedItems count="10">
        <s v="U0270"/>
        <s v="U0330"/>
        <s v="U0830"/>
        <s v="U0805"/>
        <s v="U0264"/>
        <s v="U1898"/>
        <s v="U0578"/>
        <s v="U0807"/>
        <s v="U1048"/>
        <s v="U0567"/>
      </sharedItems>
    </cacheField>
    <cacheField name="Sum of TOTAL_TOKEN_USED" numFmtId="0">
      <sharedItems containsSemiMixedTypes="0" containsString="0" containsNumber="1" containsInteger="1" minValue="6167" maxValue="9762"/>
    </cacheField>
    <cacheField name="Sum of TOTAL_SESSION" numFmtId="0">
      <sharedItems containsSemiMixedTypes="0" containsString="0" containsNumber="1" containsInteger="1" minValue="4" maxValue="12"/>
    </cacheField>
    <cacheField name="Sum of TOTAL_PROMPT" numFmtId="0">
      <sharedItems containsSemiMixedTypes="0" containsString="0" containsNumber="1" containsInteger="1" minValue="14" maxValue="27"/>
    </cacheField>
    <cacheField name="Sum of TOTAL_TOOLS_USED" numFmtId="0">
      <sharedItems containsSemiMixedTypes="0" containsString="0" containsNumber="1" containsInteger="1" minValue="2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5.509395601854" createdVersion="8" refreshedVersion="8" minRefreshableVersion="3" recordCount="45" xr:uid="{57FBA49C-DD57-4F8E-9EA8-CB794516D247}">
  <cacheSource type="worksheet">
    <worksheetSource ref="A14:C59" sheet="6  MULTIPLE TOOL USERS"/>
  </cacheSource>
  <cacheFields count="3">
    <cacheField name="U0367" numFmtId="0">
      <sharedItems count="45">
        <s v="U0377"/>
        <s v="U0480"/>
        <s v="U0664"/>
        <s v="U0716"/>
        <s v="U0718"/>
        <s v="U0740"/>
        <s v="U0830"/>
        <s v="U0899"/>
        <s v="U0903"/>
        <s v="U1026"/>
        <s v="U1079"/>
        <s v="U1094"/>
        <s v="U1281"/>
        <s v="U1309"/>
        <s v="U1356"/>
        <s v="U1370"/>
        <s v="U1468"/>
        <s v="U1473"/>
        <s v="U1580"/>
        <s v="U1664"/>
        <s v="U1680"/>
        <s v="U1716"/>
        <s v="U1719"/>
        <s v="U1728"/>
        <s v="U1819"/>
        <s v="U1821"/>
        <s v="U1898"/>
        <s v="U0048"/>
        <s v="U1918"/>
        <s v="U1927"/>
        <s v="U2000"/>
        <s v="U2010"/>
        <s v="U2025"/>
        <s v="U2123"/>
        <s v="U2130"/>
        <s v="U2140"/>
        <s v="U2194"/>
        <s v="U2237"/>
        <s v="U2333"/>
        <s v="U2340"/>
        <s v="U0292"/>
        <s v="U2360"/>
        <s v="U0314"/>
        <s v="U2376"/>
        <s v="U2382"/>
      </sharedItems>
    </cacheField>
    <cacheField name="Rupali Singh" numFmtId="0">
      <sharedItems count="43">
        <s v="Sanjay Singh"/>
        <s v="Arvind Saxena"/>
        <s v="Rupali Tiwari"/>
        <s v="Sneha Reddy"/>
        <s v="Arjun Desai"/>
        <s v="Arjun Yadav"/>
        <s v="Venkat Das"/>
        <s v="Amit Kapoor"/>
        <s v="Arjun Gupta"/>
        <s v="Pavan Chopra"/>
        <s v="Karthik Sharma"/>
        <s v="Venkat Pandit"/>
        <s v="Pavan Kapoor"/>
        <s v="Suresh Desai"/>
        <s v="Vishal Malhotra"/>
        <s v="Madhav Dutta"/>
        <s v="Ramesh Yadav"/>
        <s v="Anjali Pillai"/>
        <s v="Vikas Pandey"/>
        <s v="Nisha Verma"/>
        <s v="Dinesh Dutta"/>
        <s v="Shreya Tripathi"/>
        <s v="Naresh Mishra"/>
        <s v="Naresh Pandey"/>
        <s v="Arjun Singh"/>
        <s v="Rahul Srivastava"/>
        <s v="Mohan Verma"/>
        <s v="Vikas Saxena"/>
        <s v="Priya Rao"/>
        <s v="Neha Verma"/>
        <s v="Dinesh Gupta"/>
        <s v="Asha Gupta"/>
        <s v="Ananya Malhotra"/>
        <s v="Madhav Singh"/>
        <s v="Isha Tiwari"/>
        <s v="Isha Chopra"/>
        <s v="Anjali Bhat"/>
        <s v="Pragya Malhotra"/>
        <s v="Madhav Iyer"/>
        <s v="Asha Rao"/>
        <s v="Asha Iyer"/>
        <s v="Raj Singh"/>
        <s v="Vikram Iyer"/>
      </sharedItems>
    </cacheField>
    <cacheField name="6" numFmtId="0">
      <sharedItems containsSemiMixedTypes="0" containsString="0" containsNumber="1" containsInteger="1" minValue="6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25.512113888886" createdVersion="8" refreshedVersion="8" minRefreshableVersion="3" recordCount="12" xr:uid="{EFB679B6-F422-4E24-93B0-F37E564C4DA9}">
  <cacheSource type="worksheet">
    <worksheetSource ref="A1:C13" sheet="6  MULTIPLE TOOL USERS"/>
  </cacheSource>
  <cacheFields count="3">
    <cacheField name="USER_ID" numFmtId="0">
      <sharedItems count="12">
        <s v="U1378"/>
        <s v="U1307"/>
        <s v="U0129"/>
        <s v="U0270"/>
        <s v="U0502"/>
        <s v="U0627"/>
        <s v="U0351"/>
        <s v="U0996"/>
        <s v="U0449"/>
        <s v="U1907"/>
        <s v="U2350"/>
        <s v="U2363"/>
      </sharedItems>
    </cacheField>
    <cacheField name="USER_NAME" numFmtId="0">
      <sharedItems count="12">
        <s v="Sandhya Tiwari"/>
        <s v="Rahul Kapoor"/>
        <s v="Kavya Pandey"/>
        <s v="Krishna Gupta"/>
        <s v="Kavya Sharma"/>
        <s v="Manoj Singh"/>
        <s v="Sakshi Singh"/>
        <s v="Asha Das"/>
        <s v="Lakshmi Verma"/>
        <s v="Anita Kumar"/>
        <s v="Nisha Singh"/>
        <s v="Ashok Kapoor"/>
      </sharedItems>
    </cacheField>
    <cacheField name="TOOL_COUNT" numFmtId="0">
      <sharedItems containsSemiMixedTypes="0" containsString="0" containsNumber="1" containsInteger="1" minValue="7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9762"/>
    <n v="12"/>
    <n v="27"/>
    <n v="7"/>
  </r>
  <r>
    <x v="1"/>
    <n v="8899"/>
    <n v="8"/>
    <n v="21"/>
    <n v="5"/>
  </r>
  <r>
    <x v="2"/>
    <n v="7959"/>
    <n v="7"/>
    <n v="19"/>
    <n v="6"/>
  </r>
  <r>
    <x v="3"/>
    <n v="7611"/>
    <n v="5"/>
    <n v="20"/>
    <n v="4"/>
  </r>
  <r>
    <x v="4"/>
    <n v="7473"/>
    <n v="4"/>
    <n v="16"/>
    <n v="2"/>
  </r>
  <r>
    <x v="5"/>
    <n v="7341"/>
    <n v="9"/>
    <n v="19"/>
    <n v="6"/>
  </r>
  <r>
    <x v="6"/>
    <n v="6558"/>
    <n v="6"/>
    <n v="15"/>
    <n v="5"/>
  </r>
  <r>
    <x v="7"/>
    <n v="6551"/>
    <n v="4"/>
    <n v="16"/>
    <n v="3"/>
  </r>
  <r>
    <x v="8"/>
    <n v="6274"/>
    <n v="4"/>
    <n v="14"/>
    <n v="3"/>
  </r>
  <r>
    <x v="9"/>
    <n v="6167"/>
    <n v="6"/>
    <n v="19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n v="6"/>
  </r>
  <r>
    <x v="1"/>
    <x v="1"/>
    <n v="6"/>
  </r>
  <r>
    <x v="2"/>
    <x v="2"/>
    <n v="6"/>
  </r>
  <r>
    <x v="3"/>
    <x v="3"/>
    <n v="6"/>
  </r>
  <r>
    <x v="4"/>
    <x v="4"/>
    <n v="6"/>
  </r>
  <r>
    <x v="5"/>
    <x v="5"/>
    <n v="6"/>
  </r>
  <r>
    <x v="6"/>
    <x v="6"/>
    <n v="6"/>
  </r>
  <r>
    <x v="7"/>
    <x v="7"/>
    <n v="6"/>
  </r>
  <r>
    <x v="8"/>
    <x v="8"/>
    <n v="6"/>
  </r>
  <r>
    <x v="9"/>
    <x v="9"/>
    <n v="6"/>
  </r>
  <r>
    <x v="10"/>
    <x v="10"/>
    <n v="6"/>
  </r>
  <r>
    <x v="11"/>
    <x v="11"/>
    <n v="6"/>
  </r>
  <r>
    <x v="12"/>
    <x v="12"/>
    <n v="6"/>
  </r>
  <r>
    <x v="13"/>
    <x v="13"/>
    <n v="6"/>
  </r>
  <r>
    <x v="14"/>
    <x v="14"/>
    <n v="6"/>
  </r>
  <r>
    <x v="15"/>
    <x v="9"/>
    <n v="6"/>
  </r>
  <r>
    <x v="16"/>
    <x v="15"/>
    <n v="6"/>
  </r>
  <r>
    <x v="17"/>
    <x v="16"/>
    <n v="6"/>
  </r>
  <r>
    <x v="18"/>
    <x v="17"/>
    <n v="6"/>
  </r>
  <r>
    <x v="19"/>
    <x v="18"/>
    <n v="6"/>
  </r>
  <r>
    <x v="20"/>
    <x v="19"/>
    <n v="6"/>
  </r>
  <r>
    <x v="21"/>
    <x v="20"/>
    <n v="6"/>
  </r>
  <r>
    <x v="22"/>
    <x v="21"/>
    <n v="6"/>
  </r>
  <r>
    <x v="23"/>
    <x v="22"/>
    <n v="6"/>
  </r>
  <r>
    <x v="24"/>
    <x v="23"/>
    <n v="6"/>
  </r>
  <r>
    <x v="25"/>
    <x v="24"/>
    <n v="6"/>
  </r>
  <r>
    <x v="26"/>
    <x v="25"/>
    <n v="6"/>
  </r>
  <r>
    <x v="27"/>
    <x v="26"/>
    <n v="6"/>
  </r>
  <r>
    <x v="28"/>
    <x v="27"/>
    <n v="6"/>
  </r>
  <r>
    <x v="29"/>
    <x v="28"/>
    <n v="6"/>
  </r>
  <r>
    <x v="30"/>
    <x v="29"/>
    <n v="6"/>
  </r>
  <r>
    <x v="31"/>
    <x v="30"/>
    <n v="6"/>
  </r>
  <r>
    <x v="32"/>
    <x v="31"/>
    <n v="6"/>
  </r>
  <r>
    <x v="33"/>
    <x v="32"/>
    <n v="6"/>
  </r>
  <r>
    <x v="34"/>
    <x v="33"/>
    <n v="6"/>
  </r>
  <r>
    <x v="35"/>
    <x v="34"/>
    <n v="6"/>
  </r>
  <r>
    <x v="36"/>
    <x v="35"/>
    <n v="6"/>
  </r>
  <r>
    <x v="37"/>
    <x v="36"/>
    <n v="6"/>
  </r>
  <r>
    <x v="38"/>
    <x v="37"/>
    <n v="6"/>
  </r>
  <r>
    <x v="39"/>
    <x v="38"/>
    <n v="6"/>
  </r>
  <r>
    <x v="40"/>
    <x v="39"/>
    <n v="6"/>
  </r>
  <r>
    <x v="41"/>
    <x v="40"/>
    <n v="6"/>
  </r>
  <r>
    <x v="42"/>
    <x v="41"/>
    <n v="6"/>
  </r>
  <r>
    <x v="43"/>
    <x v="42"/>
    <n v="6"/>
  </r>
  <r>
    <x v="44"/>
    <x v="32"/>
    <n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8"/>
  </r>
  <r>
    <x v="1"/>
    <x v="1"/>
    <n v="7"/>
  </r>
  <r>
    <x v="2"/>
    <x v="2"/>
    <n v="7"/>
  </r>
  <r>
    <x v="3"/>
    <x v="3"/>
    <n v="7"/>
  </r>
  <r>
    <x v="4"/>
    <x v="4"/>
    <n v="7"/>
  </r>
  <r>
    <x v="5"/>
    <x v="5"/>
    <n v="7"/>
  </r>
  <r>
    <x v="6"/>
    <x v="6"/>
    <n v="7"/>
  </r>
  <r>
    <x v="7"/>
    <x v="7"/>
    <n v="7"/>
  </r>
  <r>
    <x v="8"/>
    <x v="8"/>
    <n v="7"/>
  </r>
  <r>
    <x v="9"/>
    <x v="9"/>
    <n v="7"/>
  </r>
  <r>
    <x v="10"/>
    <x v="10"/>
    <n v="7"/>
  </r>
  <r>
    <x v="11"/>
    <x v="11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E1E46-B4D9-4428-97DE-99B90D9E6CA6}" name="PivotTable18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K42:L88" firstHeaderRow="1" firstDataRow="1" firstDataCol="1"/>
  <pivotFields count="3">
    <pivotField axis="axisRow" showAll="0">
      <items count="46">
        <item x="27"/>
        <item x="40"/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3"/>
        <item x="44"/>
        <item t="default"/>
      </items>
    </pivotField>
    <pivotField showAll="0">
      <items count="44">
        <item x="7"/>
        <item x="32"/>
        <item x="36"/>
        <item x="17"/>
        <item x="4"/>
        <item x="8"/>
        <item x="24"/>
        <item x="5"/>
        <item x="1"/>
        <item x="31"/>
        <item x="40"/>
        <item x="39"/>
        <item x="20"/>
        <item x="30"/>
        <item x="35"/>
        <item x="34"/>
        <item x="10"/>
        <item x="15"/>
        <item x="38"/>
        <item x="33"/>
        <item x="26"/>
        <item x="22"/>
        <item x="23"/>
        <item x="29"/>
        <item x="19"/>
        <item x="9"/>
        <item x="12"/>
        <item x="37"/>
        <item x="28"/>
        <item x="25"/>
        <item x="41"/>
        <item x="16"/>
        <item x="2"/>
        <item x="0"/>
        <item x="21"/>
        <item x="3"/>
        <item x="13"/>
        <item x="6"/>
        <item x="11"/>
        <item x="18"/>
        <item x="27"/>
        <item x="42"/>
        <item x="14"/>
        <item t="default"/>
      </items>
    </pivotField>
    <pivotField dataField="1" showAll="0"/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um of 6" fld="2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C65D3-5E27-47B8-B314-058A092D00F8}" name="PivotTable19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I3:J28" firstHeaderRow="1" firstDataRow="1" firstDataCol="1"/>
  <pivotFields count="3">
    <pivotField axis="axisRow" showAll="0" sortType="descending">
      <items count="13">
        <item x="2"/>
        <item x="3"/>
        <item x="6"/>
        <item x="8"/>
        <item x="4"/>
        <item x="5"/>
        <item x="7"/>
        <item x="1"/>
        <item x="0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3">
        <item x="9"/>
        <item x="7"/>
        <item x="11"/>
        <item x="2"/>
        <item x="4"/>
        <item x="3"/>
        <item x="8"/>
        <item x="5"/>
        <item x="10"/>
        <item x="1"/>
        <item x="6"/>
        <item x="0"/>
        <item t="default"/>
      </items>
    </pivotField>
    <pivotField dataField="1" showAll="0"/>
  </pivotFields>
  <rowFields count="2">
    <field x="0"/>
    <field x="1"/>
  </rowFields>
  <rowItems count="25">
    <i>
      <x v="8"/>
    </i>
    <i r="1">
      <x v="11"/>
    </i>
    <i>
      <x v="9"/>
    </i>
    <i r="1">
      <x/>
    </i>
    <i>
      <x v="6"/>
    </i>
    <i r="1">
      <x v="1"/>
    </i>
    <i>
      <x v="11"/>
    </i>
    <i r="1">
      <x v="2"/>
    </i>
    <i>
      <x v="2"/>
    </i>
    <i r="1">
      <x v="10"/>
    </i>
    <i>
      <x v="1"/>
    </i>
    <i r="1">
      <x v="5"/>
    </i>
    <i>
      <x v="7"/>
    </i>
    <i r="1">
      <x v="9"/>
    </i>
    <i>
      <x v="3"/>
    </i>
    <i r="1">
      <x v="6"/>
    </i>
    <i>
      <x v="10"/>
    </i>
    <i r="1">
      <x v="8"/>
    </i>
    <i>
      <x v="4"/>
    </i>
    <i r="1">
      <x v="4"/>
    </i>
    <i>
      <x/>
    </i>
    <i r="1">
      <x v="3"/>
    </i>
    <i>
      <x v="5"/>
    </i>
    <i r="1">
      <x v="7"/>
    </i>
    <i t="grand">
      <x/>
    </i>
  </rowItems>
  <colItems count="1">
    <i/>
  </colItems>
  <dataFields count="1">
    <dataField name="Sum of TOOL_COUNT" fld="2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1EF4A-783E-4275-BB33-9A7A4BC70D7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USER ID">
  <location ref="A2:D13" firstHeaderRow="0" firstDataRow="1" firstDataCol="1"/>
  <pivotFields count="5">
    <pivotField axis="axisRow" showAll="0" sortType="descending">
      <items count="11">
        <item x="4"/>
        <item x="0"/>
        <item x="1"/>
        <item x="9"/>
        <item x="6"/>
        <item x="3"/>
        <item x="7"/>
        <item x="2"/>
        <item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dataField="1" showAll="0"/>
  </pivotFields>
  <rowFields count="1">
    <field x="0"/>
  </rowFields>
  <rowItems count="11">
    <i>
      <x v="1"/>
    </i>
    <i>
      <x v="2"/>
    </i>
    <i>
      <x v="5"/>
    </i>
    <i>
      <x v="7"/>
    </i>
    <i>
      <x v="9"/>
    </i>
    <i>
      <x v="3"/>
    </i>
    <i>
      <x/>
    </i>
    <i>
      <x v="6"/>
    </i>
    <i>
      <x v="4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TOTAL_PROMPTS" fld="3" baseField="0" baseItem="0"/>
    <dataField name="TOTAL_SESSIONS" fld="2" baseField="0" baseItem="0"/>
    <dataField name="TOTAL_TOOLS_USED" fld="4" baseField="0" baseItem="0"/>
  </dataFields>
  <formats count="12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11A329-27B2-4F64-BE37-178A96761B23}" autoFormatId="16" applyNumberFormats="0" applyBorderFormats="0" applyFontFormats="0" applyPatternFormats="0" applyAlignmentFormats="0" applyWidthHeightFormats="0">
  <queryTableRefresh nextId="11">
    <queryTableFields count="10">
      <queryTableField id="1" name="OVERALL_RANK" tableColumnId="1"/>
      <queryTableField id="2" name="USER_ID" tableColumnId="2"/>
      <queryTableField id="3" name="USER_NAME" tableColumnId="3"/>
      <queryTableField id="4" name="CITY" tableColumnId="4"/>
      <queryTableField id="5" name="TOTAL_TOOLS_USED" tableColumnId="5"/>
      <queryTableField id="6" name="TOTAL_SESSION" tableColumnId="6"/>
      <queryTableField id="7" name="TOTAL_PROMPT" tableColumnId="7"/>
      <queryTableField id="8" name="TOTAL_TOKEN_USED" tableColumnId="8"/>
      <queryTableField id="9" name="TOTAL_DAYS" tableColumnId="9"/>
      <queryTableField id="10" name="TOTAL_DURATION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2" xr16:uid="{09E88DBC-B76F-43FA-95B5-47D6C71A25DA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04C7747-C87C-481D-BA13-A4E82C5D1342}" autoFormatId="16" applyNumberFormats="0" applyBorderFormats="0" applyFontFormats="0" applyPatternFormats="0" applyAlignmentFormats="0" applyWidthHeightFormats="0">
  <queryTableRefresh nextId="4">
    <queryTableFields count="3">
      <queryTableField id="1" name="USER_ID" tableColumnId="1"/>
      <queryTableField id="2" name="NAME" tableColumnId="2"/>
      <queryTableField id="3" name="TOTAL_TOKE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D5AFB64-7A26-4131-BF33-35C408453C09}" autoFormatId="16" applyNumberFormats="0" applyBorderFormats="0" applyFontFormats="0" applyPatternFormats="0" applyAlignmentFormats="0" applyWidthHeightFormats="0">
  <queryTableRefresh nextId="2">
    <queryTableFields count="1">
      <queryTableField id="1" name="AVG_SESSIONS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3FA1DDB-B3D8-4699-982C-16DB208A6923}" autoFormatId="16" applyNumberFormats="0" applyBorderFormats="0" applyFontFormats="0" applyPatternFormats="0" applyAlignmentFormats="0" applyWidthHeightFormats="0">
  <queryTableRefresh nextId="2">
    <queryTableFields count="1">
      <queryTableField id="1" name="AVG_TOKEN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0C76894-B134-41A0-9DDF-2B1E089B6D14}" autoFormatId="16" applyNumberFormats="0" applyBorderFormats="0" applyFontFormats="0" applyPatternFormats="0" applyAlignmentFormats="0" applyWidthHeightFormats="0">
  <queryTableRefresh nextId="3">
    <queryTableFields count="2">
      <queryTableField id="1" name="MOST_ACTIVE_PROFESSION" tableColumnId="1"/>
      <queryTableField id="2" name="TOTAL_PROMPT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439A43B6-325B-453D-9766-5BC5B2D4B69E}" autoFormatId="16" applyNumberFormats="0" applyBorderFormats="0" applyFontFormats="0" applyPatternFormats="0" applyAlignmentFormats="0" applyWidthHeightFormats="0">
  <queryTableRefresh nextId="5">
    <queryTableFields count="4">
      <queryTableField id="1" name="MOST_ACTIVE_CITY" tableColumnId="1"/>
      <queryTableField id="2" name="TOTAL_USERS" tableColumnId="2"/>
      <queryTableField id="3" name="TOTAL_PROMPT" tableColumnId="3"/>
      <queryTableField id="4" name="TOTAL_SESSION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9651E-C45E-4997-B7DC-C63D01F6835D}" name="_1_TOP_10_USERS" displayName="_1_TOP_10_USERS" ref="A1:J11" tableType="queryTable" totalsRowShown="0" dataDxfId="17">
  <autoFilter ref="A1:J11" xr:uid="{E4D9651E-C45E-4997-B7DC-C63D01F6835D}"/>
  <tableColumns count="10">
    <tableColumn id="1" xr3:uid="{91FEDD5D-8226-4BFE-9009-CC70FB8D630A}" uniqueName="1" name="OVERALL_RANK" queryTableFieldId="1" dataDxfId="16"/>
    <tableColumn id="2" xr3:uid="{B0512342-3FC9-4B4F-BFEF-0C631B95A032}" uniqueName="2" name="USER_ID" queryTableFieldId="2" dataDxfId="15"/>
    <tableColumn id="3" xr3:uid="{053F716C-D5F2-40DC-8991-C85EC0C68AD1}" uniqueName="3" name="USER_NAME" queryTableFieldId="3" dataDxfId="14"/>
    <tableColumn id="4" xr3:uid="{3BC118F8-F092-4DBC-9934-F99CE67CF9B9}" uniqueName="4" name="CITY" queryTableFieldId="4" dataDxfId="13"/>
    <tableColumn id="5" xr3:uid="{2F34C7C2-FED7-4E83-87AC-D89771EA1332}" uniqueName="5" name="TOTAL_TOOLS_USED" queryTableFieldId="5" dataDxfId="12"/>
    <tableColumn id="6" xr3:uid="{8FB707B3-6B09-45B7-8C27-5FF0515EFFE1}" uniqueName="6" name="TOTAL_SESSION" queryTableFieldId="6" dataDxfId="11"/>
    <tableColumn id="7" xr3:uid="{CBBC3823-688E-4156-9462-7AFAC963692F}" uniqueName="7" name="TOTAL_PROMPT" queryTableFieldId="7" dataDxfId="10"/>
    <tableColumn id="8" xr3:uid="{17AE1295-70A0-46F1-AE15-608CE533058E}" uniqueName="8" name="TOTAL_TOKEN_USED" queryTableFieldId="8" dataDxfId="9"/>
    <tableColumn id="9" xr3:uid="{22C72DF6-B852-40D2-9708-50FCE2178627}" uniqueName="9" name="TOTAL_DAYS" queryTableFieldId="9" dataDxfId="8"/>
    <tableColumn id="10" xr3:uid="{617C078A-83DA-4689-B972-1A21C2A76456}" uniqueName="10" name="TOTAL_DURATION" queryTableFieldId="10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AF8AA9-A5DA-47BA-881F-ECAE820D27F1}" name="_2__TOP_10_USERS_BY_SESSION_TIME" displayName="_2__TOP_10_USERS_BY_SESSION_TIME" ref="A1:C11" tableType="queryTable" headerRowCount="0" totalsRowShown="0">
  <tableColumns count="3">
    <tableColumn id="1" xr3:uid="{61F6DC6F-9488-4130-99CE-3F241981CEF7}" uniqueName="1" name="Column1" queryTableFieldId="1" dataDxfId="6"/>
    <tableColumn id="2" xr3:uid="{95B78344-1339-4867-9583-2152AF8F1A21}" uniqueName="2" name="Column2" queryTableFieldId="2" dataDxfId="5"/>
    <tableColumn id="3" xr3:uid="{416C520A-C7FF-4265-B261-89D3B18DA8A1}" uniqueName="3" name="Column3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940579-C65A-4196-A287-CE192BFCABD7}" name="_3__TOP_10_USERS_BY_TOKEN_USED" displayName="_3__TOP_10_USERS_BY_TOKEN_USED" ref="A1:C11" tableType="queryTable" totalsRowShown="0">
  <autoFilter ref="A1:C11" xr:uid="{25940579-C65A-4196-A287-CE192BFCABD7}"/>
  <tableColumns count="3">
    <tableColumn id="1" xr3:uid="{0AE66EC5-E5E8-40A4-BD37-17F119BFD484}" uniqueName="1" name="USER_ID" queryTableFieldId="1" dataDxfId="3"/>
    <tableColumn id="2" xr3:uid="{2F9865D9-5827-4B15-963E-CECC451AF97A}" uniqueName="2" name="NAME" queryTableFieldId="2" dataDxfId="2"/>
    <tableColumn id="3" xr3:uid="{78B62737-C63C-4B20-A200-D2C1C494A551}" uniqueName="3" name="TOTAL_TOKEN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6584C7-17EA-47A0-900A-4A2813AE2452}" name="_4__AVG_SESSSION_PER_USER" displayName="_4__AVG_SESSSION_PER_USER" ref="A1:A2" tableType="queryTable" totalsRowShown="0">
  <autoFilter ref="A1:A2" xr:uid="{886584C7-17EA-47A0-900A-4A2813AE2452}"/>
  <tableColumns count="1">
    <tableColumn id="1" xr3:uid="{765A4DA3-5DB1-4882-B28D-42E736DE5AA4}" uniqueName="1" name="AVG_SESSIONS" queryTableField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B27099-5154-45BC-8D53-119A4FBAD39E}" name="_5_AVG_TOKEN_PER_USER" displayName="_5_AVG_TOKEN_PER_USER" ref="A1:A2" tableType="queryTable" totalsRowShown="0">
  <autoFilter ref="A1:A2" xr:uid="{D2B27099-5154-45BC-8D53-119A4FBAD39E}"/>
  <tableColumns count="1">
    <tableColumn id="1" xr3:uid="{DF2ED456-12FE-4263-BEB0-AA07370B958D}" uniqueName="1" name="AVG_TOKEN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5C90B5-FAE9-4E99-A657-8C868B2859E1}" name="_7__MOST_ACTIVE_PROFESSION" displayName="_7__MOST_ACTIVE_PROFESSION" ref="A1:B2" tableType="queryTable" totalsRowShown="0">
  <autoFilter ref="A1:B2" xr:uid="{BC5C90B5-FAE9-4E99-A657-8C868B2859E1}"/>
  <tableColumns count="2">
    <tableColumn id="1" xr3:uid="{29892906-3B22-43CB-8261-15CDFB44884B}" uniqueName="1" name="MOST_ACTIVE_PROFESSION" queryTableFieldId="1" dataDxfId="1"/>
    <tableColumn id="2" xr3:uid="{DC3D04B1-6160-4660-A8C5-36966FF76142}" uniqueName="2" name="TOTAL_PROMPT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8634D3-8212-4B05-9BCA-41311BF056DA}" name="_8__MOST_ACTIVE_CITY" displayName="_8__MOST_ACTIVE_CITY" ref="A1:D2" tableType="queryTable" totalsRowShown="0">
  <autoFilter ref="A1:D2" xr:uid="{D88634D3-8212-4B05-9BCA-41311BF056DA}"/>
  <tableColumns count="4">
    <tableColumn id="1" xr3:uid="{13DE9D10-B13A-411B-82D1-CB2B8443C79F}" uniqueName="1" name="MOST_ACTIVE_CITY" queryTableFieldId="1" dataDxfId="0"/>
    <tableColumn id="2" xr3:uid="{79F6A034-0AEA-480B-9B1D-E7ABA1C23E56}" uniqueName="2" name="TOTAL_USERS" queryTableFieldId="2"/>
    <tableColumn id="3" xr3:uid="{3837C086-6645-42A5-B5C5-1A69690A8D52}" uniqueName="3" name="TOTAL_PROMPT" queryTableFieldId="3"/>
    <tableColumn id="4" xr3:uid="{AAD3812B-A723-48FA-97F0-B3309293974B}" uniqueName="4" name="TOTAL_SESSION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88C7-69C2-444C-A010-6E38DB526B80}">
  <dimension ref="A1:J11"/>
  <sheetViews>
    <sheetView workbookViewId="0">
      <selection activeCell="F23" sqref="F23"/>
    </sheetView>
  </sheetViews>
  <sheetFormatPr defaultRowHeight="14.4" x14ac:dyDescent="0.3"/>
  <cols>
    <col min="1" max="1" width="16.21875" bestFit="1" customWidth="1"/>
    <col min="2" max="2" width="10.21875" bestFit="1" customWidth="1"/>
    <col min="3" max="3" width="14.109375" bestFit="1" customWidth="1"/>
    <col min="4" max="4" width="9.5546875" bestFit="1" customWidth="1"/>
    <col min="5" max="5" width="20.21875" bestFit="1" customWidth="1"/>
    <col min="6" max="6" width="16.77734375" bestFit="1" customWidth="1"/>
    <col min="7" max="7" width="16.21875" bestFit="1" customWidth="1"/>
    <col min="8" max="8" width="20.33203125" bestFit="1" customWidth="1"/>
    <col min="9" max="9" width="13.5546875" bestFit="1" customWidth="1"/>
    <col min="10" max="10" width="1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>
        <v>6</v>
      </c>
      <c r="F2" s="1">
        <v>7</v>
      </c>
      <c r="G2" s="1">
        <v>19</v>
      </c>
      <c r="H2" s="1">
        <v>7959</v>
      </c>
      <c r="I2" s="1">
        <v>7</v>
      </c>
      <c r="J2" s="1" t="s">
        <v>13</v>
      </c>
    </row>
    <row r="3" spans="1:10" x14ac:dyDescent="0.3">
      <c r="A3" s="1">
        <v>2</v>
      </c>
      <c r="B3" s="1" t="s">
        <v>14</v>
      </c>
      <c r="C3" s="1" t="s">
        <v>15</v>
      </c>
      <c r="D3" s="1" t="s">
        <v>16</v>
      </c>
      <c r="E3" s="1">
        <v>6</v>
      </c>
      <c r="F3" s="1">
        <v>9</v>
      </c>
      <c r="G3" s="1">
        <v>19</v>
      </c>
      <c r="H3" s="1">
        <v>7341</v>
      </c>
      <c r="I3" s="1">
        <v>9</v>
      </c>
      <c r="J3" s="1" t="s">
        <v>17</v>
      </c>
    </row>
    <row r="4" spans="1:10" x14ac:dyDescent="0.3">
      <c r="A4" s="1">
        <v>3</v>
      </c>
      <c r="B4" s="1" t="s">
        <v>18</v>
      </c>
      <c r="C4" s="1" t="s">
        <v>19</v>
      </c>
      <c r="D4" s="1" t="s">
        <v>20</v>
      </c>
      <c r="E4" s="1">
        <v>7</v>
      </c>
      <c r="F4" s="1">
        <v>12</v>
      </c>
      <c r="G4" s="1">
        <v>27</v>
      </c>
      <c r="H4" s="1">
        <v>9762</v>
      </c>
      <c r="I4" s="1">
        <v>12</v>
      </c>
      <c r="J4" s="1" t="s">
        <v>21</v>
      </c>
    </row>
    <row r="5" spans="1:10" x14ac:dyDescent="0.3">
      <c r="A5" s="1">
        <v>4</v>
      </c>
      <c r="B5" s="1" t="s">
        <v>22</v>
      </c>
      <c r="C5" s="1" t="s">
        <v>23</v>
      </c>
      <c r="D5" s="1" t="s">
        <v>20</v>
      </c>
      <c r="E5" s="1">
        <v>5</v>
      </c>
      <c r="F5" s="1">
        <v>8</v>
      </c>
      <c r="G5" s="1">
        <v>21</v>
      </c>
      <c r="H5" s="1">
        <v>8899</v>
      </c>
      <c r="I5" s="1">
        <v>8</v>
      </c>
      <c r="J5" s="1" t="s">
        <v>24</v>
      </c>
    </row>
    <row r="6" spans="1:10" x14ac:dyDescent="0.3">
      <c r="A6" s="1">
        <v>5</v>
      </c>
      <c r="B6" s="1" t="s">
        <v>25</v>
      </c>
      <c r="C6" s="1" t="s">
        <v>26</v>
      </c>
      <c r="D6" s="1" t="s">
        <v>27</v>
      </c>
      <c r="E6" s="1">
        <v>4</v>
      </c>
      <c r="F6" s="1">
        <v>5</v>
      </c>
      <c r="G6" s="1">
        <v>20</v>
      </c>
      <c r="H6" s="1">
        <v>7611</v>
      </c>
      <c r="I6" s="1">
        <v>5</v>
      </c>
      <c r="J6" s="1" t="s">
        <v>28</v>
      </c>
    </row>
    <row r="7" spans="1:10" x14ac:dyDescent="0.3">
      <c r="A7" s="1">
        <v>6</v>
      </c>
      <c r="B7" s="1" t="s">
        <v>29</v>
      </c>
      <c r="C7" s="1" t="s">
        <v>30</v>
      </c>
      <c r="D7" s="1" t="s">
        <v>31</v>
      </c>
      <c r="E7" s="1">
        <v>4</v>
      </c>
      <c r="F7" s="1">
        <v>6</v>
      </c>
      <c r="G7" s="1">
        <v>19</v>
      </c>
      <c r="H7" s="1">
        <v>6167</v>
      </c>
      <c r="I7" s="1">
        <v>6</v>
      </c>
      <c r="J7" s="1" t="s">
        <v>32</v>
      </c>
    </row>
    <row r="8" spans="1:10" x14ac:dyDescent="0.3">
      <c r="A8" s="1">
        <v>7</v>
      </c>
      <c r="B8" s="1" t="s">
        <v>33</v>
      </c>
      <c r="C8" s="1" t="s">
        <v>34</v>
      </c>
      <c r="D8" s="1" t="s">
        <v>27</v>
      </c>
      <c r="E8" s="1">
        <v>5</v>
      </c>
      <c r="F8" s="1">
        <v>6</v>
      </c>
      <c r="G8" s="1">
        <v>15</v>
      </c>
      <c r="H8" s="1">
        <v>6558</v>
      </c>
      <c r="I8" s="1">
        <v>6</v>
      </c>
      <c r="J8" s="1" t="s">
        <v>35</v>
      </c>
    </row>
    <row r="9" spans="1:10" x14ac:dyDescent="0.3">
      <c r="A9" s="1">
        <v>8</v>
      </c>
      <c r="B9" s="1" t="s">
        <v>36</v>
      </c>
      <c r="C9" s="1" t="s">
        <v>37</v>
      </c>
      <c r="D9" s="1" t="s">
        <v>38</v>
      </c>
      <c r="E9" s="1">
        <v>3</v>
      </c>
      <c r="F9" s="1">
        <v>4</v>
      </c>
      <c r="G9" s="1">
        <v>16</v>
      </c>
      <c r="H9" s="1">
        <v>6551</v>
      </c>
      <c r="I9" s="1">
        <v>4</v>
      </c>
      <c r="J9" s="1" t="s">
        <v>39</v>
      </c>
    </row>
    <row r="10" spans="1:10" x14ac:dyDescent="0.3">
      <c r="A10" s="1">
        <v>9</v>
      </c>
      <c r="B10" s="1" t="s">
        <v>40</v>
      </c>
      <c r="C10" s="1" t="s">
        <v>41</v>
      </c>
      <c r="D10" s="1" t="s">
        <v>42</v>
      </c>
      <c r="E10" s="1">
        <v>3</v>
      </c>
      <c r="F10" s="1">
        <v>4</v>
      </c>
      <c r="G10" s="1">
        <v>14</v>
      </c>
      <c r="H10" s="1">
        <v>6274</v>
      </c>
      <c r="I10" s="1">
        <v>4</v>
      </c>
      <c r="J10" s="1" t="s">
        <v>43</v>
      </c>
    </row>
    <row r="11" spans="1:10" x14ac:dyDescent="0.3">
      <c r="A11" s="1">
        <v>10</v>
      </c>
      <c r="B11" s="1" t="s">
        <v>44</v>
      </c>
      <c r="C11" s="1" t="s">
        <v>45</v>
      </c>
      <c r="D11" s="1" t="s">
        <v>46</v>
      </c>
      <c r="E11" s="1">
        <v>2</v>
      </c>
      <c r="F11" s="1">
        <v>4</v>
      </c>
      <c r="G11" s="1">
        <v>16</v>
      </c>
      <c r="H11" s="1">
        <v>7473</v>
      </c>
      <c r="I11" s="1">
        <v>3</v>
      </c>
      <c r="J11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D354-6BB8-4E73-9EE8-494745629ABA}">
  <dimension ref="A1:C11"/>
  <sheetViews>
    <sheetView workbookViewId="0">
      <selection activeCell="D22" sqref="D22"/>
    </sheetView>
  </sheetViews>
  <sheetFormatPr defaultRowHeight="14.4" x14ac:dyDescent="0.3"/>
  <cols>
    <col min="1" max="1" width="10.6640625" bestFit="1" customWidth="1"/>
    <col min="2" max="2" width="14.44140625" bestFit="1" customWidth="1"/>
    <col min="3" max="3" width="18.77734375" bestFit="1" customWidth="1"/>
  </cols>
  <sheetData>
    <row r="1" spans="1:3" x14ac:dyDescent="0.3">
      <c r="A1" t="s">
        <v>1</v>
      </c>
      <c r="B1" t="s">
        <v>48</v>
      </c>
      <c r="C1" t="s">
        <v>49</v>
      </c>
    </row>
    <row r="2" spans="1:3" x14ac:dyDescent="0.3">
      <c r="A2" t="s">
        <v>50</v>
      </c>
      <c r="B2" t="s">
        <v>51</v>
      </c>
      <c r="C2" t="s">
        <v>52</v>
      </c>
    </row>
    <row r="3" spans="1:3" x14ac:dyDescent="0.3">
      <c r="A3" t="s">
        <v>53</v>
      </c>
      <c r="B3" t="s">
        <v>54</v>
      </c>
      <c r="C3" t="s">
        <v>52</v>
      </c>
    </row>
    <row r="4" spans="1:3" x14ac:dyDescent="0.3">
      <c r="A4" t="s">
        <v>55</v>
      </c>
      <c r="B4" t="s">
        <v>56</v>
      </c>
      <c r="C4" t="s">
        <v>52</v>
      </c>
    </row>
    <row r="5" spans="1:3" x14ac:dyDescent="0.3">
      <c r="A5" t="s">
        <v>57</v>
      </c>
      <c r="B5" t="s">
        <v>58</v>
      </c>
      <c r="C5" t="s">
        <v>52</v>
      </c>
    </row>
    <row r="6" spans="1:3" x14ac:dyDescent="0.3">
      <c r="A6" t="s">
        <v>59</v>
      </c>
      <c r="B6" t="s">
        <v>60</v>
      </c>
      <c r="C6" t="s">
        <v>52</v>
      </c>
    </row>
    <row r="7" spans="1:3" x14ac:dyDescent="0.3">
      <c r="A7" t="s">
        <v>61</v>
      </c>
      <c r="B7" t="s">
        <v>62</v>
      </c>
      <c r="C7" t="s">
        <v>63</v>
      </c>
    </row>
    <row r="8" spans="1:3" x14ac:dyDescent="0.3">
      <c r="A8" t="s">
        <v>64</v>
      </c>
      <c r="B8" t="s">
        <v>65</v>
      </c>
      <c r="C8" t="s">
        <v>63</v>
      </c>
    </row>
    <row r="9" spans="1:3" x14ac:dyDescent="0.3">
      <c r="A9" t="s">
        <v>66</v>
      </c>
      <c r="B9" t="s">
        <v>67</v>
      </c>
      <c r="C9" t="s">
        <v>68</v>
      </c>
    </row>
    <row r="10" spans="1:3" x14ac:dyDescent="0.3">
      <c r="A10" t="s">
        <v>69</v>
      </c>
      <c r="B10" t="s">
        <v>70</v>
      </c>
      <c r="C10" t="s">
        <v>68</v>
      </c>
    </row>
    <row r="11" spans="1:3" x14ac:dyDescent="0.3">
      <c r="A11" t="s">
        <v>71</v>
      </c>
      <c r="B11" t="s">
        <v>72</v>
      </c>
      <c r="C11" t="s">
        <v>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95D-CC32-4049-8457-AC9F4B9CEEBE}">
  <dimension ref="A1:C11"/>
  <sheetViews>
    <sheetView workbookViewId="0">
      <selection activeCell="B2" sqref="B2"/>
    </sheetView>
  </sheetViews>
  <sheetFormatPr defaultRowHeight="14.4" x14ac:dyDescent="0.3"/>
  <cols>
    <col min="1" max="1" width="10.21875" bestFit="1" customWidth="1"/>
    <col min="2" max="2" width="13.33203125" bestFit="1" customWidth="1"/>
    <col min="3" max="3" width="14.77734375" bestFit="1" customWidth="1"/>
  </cols>
  <sheetData>
    <row r="1" spans="1:3" x14ac:dyDescent="0.3">
      <c r="A1" t="s">
        <v>1</v>
      </c>
      <c r="B1" t="s">
        <v>48</v>
      </c>
      <c r="C1" t="s">
        <v>73</v>
      </c>
    </row>
    <row r="2" spans="1:3" x14ac:dyDescent="0.3">
      <c r="A2" t="s">
        <v>18</v>
      </c>
      <c r="B2" t="s">
        <v>19</v>
      </c>
      <c r="C2">
        <v>9762</v>
      </c>
    </row>
    <row r="3" spans="1:3" x14ac:dyDescent="0.3">
      <c r="A3" t="s">
        <v>22</v>
      </c>
      <c r="B3" t="s">
        <v>23</v>
      </c>
      <c r="C3">
        <v>8899</v>
      </c>
    </row>
    <row r="4" spans="1:3" x14ac:dyDescent="0.3">
      <c r="A4" t="s">
        <v>74</v>
      </c>
      <c r="B4" t="s">
        <v>75</v>
      </c>
      <c r="C4">
        <v>8862</v>
      </c>
    </row>
    <row r="5" spans="1:3" x14ac:dyDescent="0.3">
      <c r="A5" t="s">
        <v>76</v>
      </c>
      <c r="B5" t="s">
        <v>77</v>
      </c>
      <c r="C5">
        <v>8720</v>
      </c>
    </row>
    <row r="6" spans="1:3" x14ac:dyDescent="0.3">
      <c r="A6" t="s">
        <v>78</v>
      </c>
      <c r="B6" t="s">
        <v>79</v>
      </c>
      <c r="C6">
        <v>8649</v>
      </c>
    </row>
    <row r="7" spans="1:3" x14ac:dyDescent="0.3">
      <c r="A7" t="s">
        <v>80</v>
      </c>
      <c r="B7" t="s">
        <v>81</v>
      </c>
      <c r="C7">
        <v>8625</v>
      </c>
    </row>
    <row r="8" spans="1:3" x14ac:dyDescent="0.3">
      <c r="A8" t="s">
        <v>82</v>
      </c>
      <c r="B8" t="s">
        <v>83</v>
      </c>
      <c r="C8">
        <v>8396</v>
      </c>
    </row>
    <row r="9" spans="1:3" x14ac:dyDescent="0.3">
      <c r="A9" t="s">
        <v>84</v>
      </c>
      <c r="B9" t="s">
        <v>85</v>
      </c>
      <c r="C9">
        <v>8049</v>
      </c>
    </row>
    <row r="10" spans="1:3" x14ac:dyDescent="0.3">
      <c r="A10" t="s">
        <v>10</v>
      </c>
      <c r="B10" t="s">
        <v>11</v>
      </c>
      <c r="C10">
        <v>7959</v>
      </c>
    </row>
    <row r="11" spans="1:3" x14ac:dyDescent="0.3">
      <c r="A11" t="s">
        <v>86</v>
      </c>
      <c r="B11" t="s">
        <v>87</v>
      </c>
      <c r="C11">
        <v>7816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8FC9-1C03-4D41-964E-54ACFEAA826C}">
  <dimension ref="A1:A6"/>
  <sheetViews>
    <sheetView workbookViewId="0">
      <selection activeCell="A6" sqref="A6"/>
    </sheetView>
  </sheetViews>
  <sheetFormatPr defaultRowHeight="14.4" x14ac:dyDescent="0.3"/>
  <cols>
    <col min="1" max="1" width="16.33203125" bestFit="1" customWidth="1"/>
  </cols>
  <sheetData>
    <row r="1" spans="1:1" x14ac:dyDescent="0.3">
      <c r="A1" t="s">
        <v>88</v>
      </c>
    </row>
    <row r="2" spans="1:1" x14ac:dyDescent="0.3">
      <c r="A2">
        <v>3.17</v>
      </c>
    </row>
    <row r="6" spans="1:1" x14ac:dyDescent="0.3">
      <c r="A6" cm="1">
        <f t="array" ref="A6">ROUND(_4__AVG_SESSSION_PER_USER[AVG_SESSIONS],1)</f>
        <v>3.2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80FC-8ACF-4E15-984D-10715CC826A7}">
  <dimension ref="A1:A5"/>
  <sheetViews>
    <sheetView workbookViewId="0">
      <selection activeCell="A6" sqref="A6"/>
    </sheetView>
  </sheetViews>
  <sheetFormatPr defaultRowHeight="14.4" x14ac:dyDescent="0.3"/>
  <cols>
    <col min="1" max="1" width="13.21875" bestFit="1" customWidth="1"/>
  </cols>
  <sheetData>
    <row r="1" spans="1:1" x14ac:dyDescent="0.3">
      <c r="A1" t="s">
        <v>89</v>
      </c>
    </row>
    <row r="2" spans="1:1" x14ac:dyDescent="0.3">
      <c r="A2">
        <v>360.16</v>
      </c>
    </row>
    <row r="5" spans="1:1" x14ac:dyDescent="0.3">
      <c r="A5" cm="1">
        <f t="array" ref="A5">_5_AVG_TOKEN_PER_USER[AVG_TOKEN]</f>
        <v>360.16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7758-2A0B-4A70-8FD2-E45D72542F86}">
  <dimension ref="A1:L88"/>
  <sheetViews>
    <sheetView zoomScaleNormal="100" workbookViewId="0">
      <selection activeCell="B61" sqref="B61"/>
    </sheetView>
  </sheetViews>
  <sheetFormatPr defaultRowHeight="14.4" x14ac:dyDescent="0.3"/>
  <cols>
    <col min="1" max="1" width="10.21875" bestFit="1" customWidth="1"/>
    <col min="2" max="3" width="14.44140625" bestFit="1" customWidth="1"/>
    <col min="5" max="5" width="12.44140625" bestFit="1" customWidth="1"/>
    <col min="6" max="6" width="18.44140625" bestFit="1" customWidth="1"/>
    <col min="9" max="9" width="16.5546875" bestFit="1" customWidth="1"/>
    <col min="10" max="10" width="18.44140625" bestFit="1" customWidth="1"/>
    <col min="11" max="11" width="12.44140625" bestFit="1" customWidth="1"/>
    <col min="12" max="12" width="8" bestFit="1" customWidth="1"/>
    <col min="13" max="13" width="18.44140625" bestFit="1" customWidth="1"/>
  </cols>
  <sheetData>
    <row r="1" spans="1:10" x14ac:dyDescent="0.3">
      <c r="A1" s="19" t="s">
        <v>1</v>
      </c>
      <c r="B1" s="20" t="s">
        <v>2</v>
      </c>
      <c r="C1" s="21" t="s">
        <v>90</v>
      </c>
    </row>
    <row r="2" spans="1:10" x14ac:dyDescent="0.3">
      <c r="A2" s="22" t="s">
        <v>91</v>
      </c>
      <c r="B2" s="23" t="s">
        <v>65</v>
      </c>
      <c r="C2" s="24">
        <v>8</v>
      </c>
    </row>
    <row r="3" spans="1:10" x14ac:dyDescent="0.3">
      <c r="A3" s="25" t="s">
        <v>92</v>
      </c>
      <c r="B3" s="26" t="s">
        <v>93</v>
      </c>
      <c r="C3" s="27">
        <v>7</v>
      </c>
      <c r="I3" s="15" t="s">
        <v>200</v>
      </c>
      <c r="J3" t="s">
        <v>201</v>
      </c>
    </row>
    <row r="4" spans="1:10" x14ac:dyDescent="0.3">
      <c r="A4" s="22" t="s">
        <v>94</v>
      </c>
      <c r="B4" s="23" t="s">
        <v>95</v>
      </c>
      <c r="C4" s="24">
        <v>7</v>
      </c>
      <c r="I4" s="16" t="s">
        <v>91</v>
      </c>
      <c r="J4" s="17">
        <v>8</v>
      </c>
    </row>
    <row r="5" spans="1:10" x14ac:dyDescent="0.3">
      <c r="A5" s="25" t="s">
        <v>18</v>
      </c>
      <c r="B5" s="26" t="s">
        <v>19</v>
      </c>
      <c r="C5" s="27">
        <v>7</v>
      </c>
      <c r="I5" s="18" t="s">
        <v>65</v>
      </c>
      <c r="J5" s="17">
        <v>8</v>
      </c>
    </row>
    <row r="6" spans="1:10" x14ac:dyDescent="0.3">
      <c r="A6" s="22" t="s">
        <v>86</v>
      </c>
      <c r="B6" s="23" t="s">
        <v>87</v>
      </c>
      <c r="C6" s="24">
        <v>7</v>
      </c>
      <c r="I6" s="16" t="s">
        <v>102</v>
      </c>
      <c r="J6" s="17">
        <v>7</v>
      </c>
    </row>
    <row r="7" spans="1:10" x14ac:dyDescent="0.3">
      <c r="A7" s="25" t="s">
        <v>74</v>
      </c>
      <c r="B7" s="26" t="s">
        <v>75</v>
      </c>
      <c r="C7" s="27">
        <v>7</v>
      </c>
      <c r="I7" s="18" t="s">
        <v>103</v>
      </c>
      <c r="J7" s="17">
        <v>7</v>
      </c>
    </row>
    <row r="8" spans="1:10" x14ac:dyDescent="0.3">
      <c r="A8" s="22" t="s">
        <v>96</v>
      </c>
      <c r="B8" s="23" t="s">
        <v>97</v>
      </c>
      <c r="C8" s="24">
        <v>7</v>
      </c>
      <c r="I8" s="16" t="s">
        <v>98</v>
      </c>
      <c r="J8" s="17">
        <v>7</v>
      </c>
    </row>
    <row r="9" spans="1:10" x14ac:dyDescent="0.3">
      <c r="A9" s="25" t="s">
        <v>98</v>
      </c>
      <c r="B9" s="26" t="s">
        <v>99</v>
      </c>
      <c r="C9" s="27">
        <v>7</v>
      </c>
      <c r="I9" s="18" t="s">
        <v>99</v>
      </c>
      <c r="J9" s="17">
        <v>7</v>
      </c>
    </row>
    <row r="10" spans="1:10" x14ac:dyDescent="0.3">
      <c r="A10" s="22" t="s">
        <v>100</v>
      </c>
      <c r="B10" s="23" t="s">
        <v>101</v>
      </c>
      <c r="C10" s="24">
        <v>7</v>
      </c>
      <c r="I10" s="16" t="s">
        <v>106</v>
      </c>
      <c r="J10" s="17">
        <v>7</v>
      </c>
    </row>
    <row r="11" spans="1:10" x14ac:dyDescent="0.3">
      <c r="A11" s="25" t="s">
        <v>102</v>
      </c>
      <c r="B11" s="26" t="s">
        <v>103</v>
      </c>
      <c r="C11" s="27">
        <v>7</v>
      </c>
      <c r="I11" s="18" t="s">
        <v>107</v>
      </c>
      <c r="J11" s="17">
        <v>7</v>
      </c>
    </row>
    <row r="12" spans="1:10" x14ac:dyDescent="0.3">
      <c r="A12" s="22" t="s">
        <v>104</v>
      </c>
      <c r="B12" s="23" t="s">
        <v>105</v>
      </c>
      <c r="C12" s="24">
        <v>7</v>
      </c>
      <c r="I12" s="16" t="s">
        <v>96</v>
      </c>
      <c r="J12" s="17">
        <v>7</v>
      </c>
    </row>
    <row r="13" spans="1:10" x14ac:dyDescent="0.3">
      <c r="A13" s="25" t="s">
        <v>106</v>
      </c>
      <c r="B13" s="26" t="s">
        <v>107</v>
      </c>
      <c r="C13" s="27">
        <v>7</v>
      </c>
      <c r="I13" s="18" t="s">
        <v>97</v>
      </c>
      <c r="J13" s="17">
        <v>7</v>
      </c>
    </row>
    <row r="14" spans="1:10" x14ac:dyDescent="0.3">
      <c r="A14" s="22" t="s">
        <v>108</v>
      </c>
      <c r="B14" s="23" t="s">
        <v>109</v>
      </c>
      <c r="C14" s="24">
        <v>6</v>
      </c>
      <c r="I14" s="16" t="s">
        <v>18</v>
      </c>
      <c r="J14" s="17">
        <v>7</v>
      </c>
    </row>
    <row r="15" spans="1:10" x14ac:dyDescent="0.3">
      <c r="A15" s="25" t="s">
        <v>110</v>
      </c>
      <c r="B15" s="26" t="s">
        <v>111</v>
      </c>
      <c r="C15" s="27">
        <v>6</v>
      </c>
      <c r="I15" s="18" t="s">
        <v>19</v>
      </c>
      <c r="J15" s="17">
        <v>7</v>
      </c>
    </row>
    <row r="16" spans="1:10" x14ac:dyDescent="0.3">
      <c r="A16" s="22" t="s">
        <v>112</v>
      </c>
      <c r="B16" s="23" t="s">
        <v>113</v>
      </c>
      <c r="C16" s="24">
        <v>6</v>
      </c>
      <c r="I16" s="16" t="s">
        <v>92</v>
      </c>
      <c r="J16" s="17">
        <v>7</v>
      </c>
    </row>
    <row r="17" spans="1:10" x14ac:dyDescent="0.3">
      <c r="A17" s="25" t="s">
        <v>114</v>
      </c>
      <c r="B17" s="26" t="s">
        <v>115</v>
      </c>
      <c r="C17" s="27">
        <v>6</v>
      </c>
      <c r="I17" s="18" t="s">
        <v>93</v>
      </c>
      <c r="J17" s="17">
        <v>7</v>
      </c>
    </row>
    <row r="18" spans="1:10" x14ac:dyDescent="0.3">
      <c r="A18" s="22" t="s">
        <v>116</v>
      </c>
      <c r="B18" s="23" t="s">
        <v>117</v>
      </c>
      <c r="C18" s="24">
        <v>6</v>
      </c>
      <c r="I18" s="16" t="s">
        <v>100</v>
      </c>
      <c r="J18" s="17">
        <v>7</v>
      </c>
    </row>
    <row r="19" spans="1:10" x14ac:dyDescent="0.3">
      <c r="A19" s="25" t="s">
        <v>84</v>
      </c>
      <c r="B19" s="26" t="s">
        <v>85</v>
      </c>
      <c r="C19" s="27">
        <v>6</v>
      </c>
      <c r="I19" s="18" t="s">
        <v>101</v>
      </c>
      <c r="J19" s="17">
        <v>7</v>
      </c>
    </row>
    <row r="20" spans="1:10" x14ac:dyDescent="0.3">
      <c r="A20" s="22" t="s">
        <v>118</v>
      </c>
      <c r="B20" s="23" t="s">
        <v>119</v>
      </c>
      <c r="C20" s="24">
        <v>6</v>
      </c>
      <c r="I20" s="16" t="s">
        <v>104</v>
      </c>
      <c r="J20" s="17">
        <v>7</v>
      </c>
    </row>
    <row r="21" spans="1:10" x14ac:dyDescent="0.3">
      <c r="A21" s="25" t="s">
        <v>10</v>
      </c>
      <c r="B21" s="26" t="s">
        <v>11</v>
      </c>
      <c r="C21" s="27">
        <v>6</v>
      </c>
      <c r="I21" s="18" t="s">
        <v>105</v>
      </c>
      <c r="J21" s="17">
        <v>7</v>
      </c>
    </row>
    <row r="22" spans="1:10" x14ac:dyDescent="0.3">
      <c r="A22" s="22" t="s">
        <v>120</v>
      </c>
      <c r="B22" s="23" t="s">
        <v>121</v>
      </c>
      <c r="C22" s="24">
        <v>6</v>
      </c>
      <c r="I22" s="16" t="s">
        <v>86</v>
      </c>
      <c r="J22" s="17">
        <v>7</v>
      </c>
    </row>
    <row r="23" spans="1:10" x14ac:dyDescent="0.3">
      <c r="A23" s="25" t="s">
        <v>122</v>
      </c>
      <c r="B23" s="26" t="s">
        <v>123</v>
      </c>
      <c r="C23" s="27">
        <v>6</v>
      </c>
      <c r="I23" s="18" t="s">
        <v>87</v>
      </c>
      <c r="J23" s="17">
        <v>7</v>
      </c>
    </row>
    <row r="24" spans="1:10" x14ac:dyDescent="0.3">
      <c r="A24" s="22" t="s">
        <v>124</v>
      </c>
      <c r="B24" s="23" t="s">
        <v>125</v>
      </c>
      <c r="C24" s="24">
        <v>6</v>
      </c>
      <c r="I24" s="16" t="s">
        <v>94</v>
      </c>
      <c r="J24" s="17">
        <v>7</v>
      </c>
    </row>
    <row r="25" spans="1:10" x14ac:dyDescent="0.3">
      <c r="A25" s="25" t="s">
        <v>126</v>
      </c>
      <c r="B25" s="26" t="s">
        <v>127</v>
      </c>
      <c r="C25" s="27">
        <v>6</v>
      </c>
      <c r="I25" s="18" t="s">
        <v>95</v>
      </c>
      <c r="J25" s="17">
        <v>7</v>
      </c>
    </row>
    <row r="26" spans="1:10" x14ac:dyDescent="0.3">
      <c r="A26" s="22" t="s">
        <v>128</v>
      </c>
      <c r="B26" s="23" t="s">
        <v>129</v>
      </c>
      <c r="C26" s="24">
        <v>6</v>
      </c>
      <c r="I26" s="16" t="s">
        <v>74</v>
      </c>
      <c r="J26" s="17">
        <v>7</v>
      </c>
    </row>
    <row r="27" spans="1:10" x14ac:dyDescent="0.3">
      <c r="A27" s="25" t="s">
        <v>130</v>
      </c>
      <c r="B27" s="26" t="s">
        <v>131</v>
      </c>
      <c r="C27" s="27">
        <v>6</v>
      </c>
      <c r="I27" s="18" t="s">
        <v>75</v>
      </c>
      <c r="J27" s="17">
        <v>7</v>
      </c>
    </row>
    <row r="28" spans="1:10" x14ac:dyDescent="0.3">
      <c r="A28" s="22" t="s">
        <v>132</v>
      </c>
      <c r="B28" s="23" t="s">
        <v>133</v>
      </c>
      <c r="C28" s="24">
        <v>6</v>
      </c>
      <c r="I28" s="16" t="s">
        <v>194</v>
      </c>
      <c r="J28" s="17">
        <v>85</v>
      </c>
    </row>
    <row r="29" spans="1:10" x14ac:dyDescent="0.3">
      <c r="A29" s="25" t="s">
        <v>134</v>
      </c>
      <c r="B29" s="26" t="s">
        <v>135</v>
      </c>
      <c r="C29" s="27">
        <v>6</v>
      </c>
    </row>
    <row r="30" spans="1:10" x14ac:dyDescent="0.3">
      <c r="A30" s="22" t="s">
        <v>136</v>
      </c>
      <c r="B30" s="23" t="s">
        <v>125</v>
      </c>
      <c r="C30" s="24">
        <v>6</v>
      </c>
    </row>
    <row r="31" spans="1:10" x14ac:dyDescent="0.3">
      <c r="A31" s="25" t="s">
        <v>137</v>
      </c>
      <c r="B31" s="26" t="s">
        <v>138</v>
      </c>
      <c r="C31" s="27">
        <v>6</v>
      </c>
    </row>
    <row r="32" spans="1:10" x14ac:dyDescent="0.3">
      <c r="A32" s="22" t="s">
        <v>139</v>
      </c>
      <c r="B32" s="23" t="s">
        <v>140</v>
      </c>
      <c r="C32" s="24">
        <v>6</v>
      </c>
    </row>
    <row r="33" spans="1:12" x14ac:dyDescent="0.3">
      <c r="A33" s="25" t="s">
        <v>141</v>
      </c>
      <c r="B33" s="26" t="s">
        <v>142</v>
      </c>
      <c r="C33" s="27">
        <v>6</v>
      </c>
    </row>
    <row r="34" spans="1:12" x14ac:dyDescent="0.3">
      <c r="A34" s="22" t="s">
        <v>143</v>
      </c>
      <c r="B34" s="23" t="s">
        <v>144</v>
      </c>
      <c r="C34" s="24">
        <v>6</v>
      </c>
    </row>
    <row r="35" spans="1:12" x14ac:dyDescent="0.3">
      <c r="A35" s="25" t="s">
        <v>145</v>
      </c>
      <c r="B35" s="26" t="s">
        <v>146</v>
      </c>
      <c r="C35" s="27">
        <v>6</v>
      </c>
    </row>
    <row r="36" spans="1:12" x14ac:dyDescent="0.3">
      <c r="A36" s="22" t="s">
        <v>147</v>
      </c>
      <c r="B36" s="23" t="s">
        <v>148</v>
      </c>
      <c r="C36" s="24">
        <v>6</v>
      </c>
    </row>
    <row r="37" spans="1:12" x14ac:dyDescent="0.3">
      <c r="A37" s="25" t="s">
        <v>149</v>
      </c>
      <c r="B37" s="26" t="s">
        <v>150</v>
      </c>
      <c r="C37" s="27">
        <v>6</v>
      </c>
    </row>
    <row r="38" spans="1:12" x14ac:dyDescent="0.3">
      <c r="A38" s="22" t="s">
        <v>151</v>
      </c>
      <c r="B38" s="23" t="s">
        <v>152</v>
      </c>
      <c r="C38" s="24">
        <v>6</v>
      </c>
    </row>
    <row r="39" spans="1:12" x14ac:dyDescent="0.3">
      <c r="A39" s="25" t="s">
        <v>153</v>
      </c>
      <c r="B39" s="26" t="s">
        <v>154</v>
      </c>
      <c r="C39" s="27">
        <v>6</v>
      </c>
    </row>
    <row r="40" spans="1:12" x14ac:dyDescent="0.3">
      <c r="A40" s="22" t="s">
        <v>155</v>
      </c>
      <c r="B40" s="23" t="s">
        <v>156</v>
      </c>
      <c r="C40" s="24">
        <v>6</v>
      </c>
    </row>
    <row r="41" spans="1:12" x14ac:dyDescent="0.3">
      <c r="A41" s="25" t="s">
        <v>14</v>
      </c>
      <c r="B41" s="26" t="s">
        <v>15</v>
      </c>
      <c r="C41" s="27">
        <v>6</v>
      </c>
    </row>
    <row r="42" spans="1:12" x14ac:dyDescent="0.3">
      <c r="A42" s="22" t="s">
        <v>157</v>
      </c>
      <c r="B42" s="23" t="s">
        <v>158</v>
      </c>
      <c r="C42" s="24">
        <v>6</v>
      </c>
      <c r="K42" s="15" t="s">
        <v>200</v>
      </c>
      <c r="L42" t="s">
        <v>202</v>
      </c>
    </row>
    <row r="43" spans="1:12" x14ac:dyDescent="0.3">
      <c r="A43" s="25" t="s">
        <v>159</v>
      </c>
      <c r="B43" s="26" t="s">
        <v>160</v>
      </c>
      <c r="C43" s="27">
        <v>6</v>
      </c>
      <c r="K43" s="16" t="s">
        <v>157</v>
      </c>
      <c r="L43" s="17">
        <v>6</v>
      </c>
    </row>
    <row r="44" spans="1:12" x14ac:dyDescent="0.3">
      <c r="A44" s="22" t="s">
        <v>161</v>
      </c>
      <c r="B44" s="23" t="s">
        <v>162</v>
      </c>
      <c r="C44" s="24">
        <v>6</v>
      </c>
      <c r="K44" s="16" t="s">
        <v>180</v>
      </c>
      <c r="L44" s="17">
        <v>6</v>
      </c>
    </row>
    <row r="45" spans="1:12" x14ac:dyDescent="0.3">
      <c r="A45" s="25" t="s">
        <v>163</v>
      </c>
      <c r="B45" s="26" t="s">
        <v>164</v>
      </c>
      <c r="C45" s="27">
        <v>6</v>
      </c>
      <c r="K45" s="16" t="s">
        <v>184</v>
      </c>
      <c r="L45" s="17">
        <v>6</v>
      </c>
    </row>
    <row r="46" spans="1:12" x14ac:dyDescent="0.3">
      <c r="A46" s="22" t="s">
        <v>165</v>
      </c>
      <c r="B46" s="23" t="s">
        <v>166</v>
      </c>
      <c r="C46" s="24">
        <v>6</v>
      </c>
      <c r="K46" s="16" t="s">
        <v>110</v>
      </c>
      <c r="L46" s="17">
        <v>6</v>
      </c>
    </row>
    <row r="47" spans="1:12" x14ac:dyDescent="0.3">
      <c r="A47" s="25" t="s">
        <v>167</v>
      </c>
      <c r="B47" s="26" t="s">
        <v>168</v>
      </c>
      <c r="C47" s="27">
        <v>6</v>
      </c>
      <c r="K47" s="16" t="s">
        <v>112</v>
      </c>
      <c r="L47" s="17">
        <v>6</v>
      </c>
    </row>
    <row r="48" spans="1:12" x14ac:dyDescent="0.3">
      <c r="A48" s="22" t="s">
        <v>169</v>
      </c>
      <c r="B48" s="23" t="s">
        <v>170</v>
      </c>
      <c r="C48" s="24">
        <v>6</v>
      </c>
      <c r="K48" s="16" t="s">
        <v>114</v>
      </c>
      <c r="L48" s="17">
        <v>6</v>
      </c>
    </row>
    <row r="49" spans="1:12" x14ac:dyDescent="0.3">
      <c r="A49" s="25" t="s">
        <v>171</v>
      </c>
      <c r="B49" s="26" t="s">
        <v>67</v>
      </c>
      <c r="C49" s="27">
        <v>6</v>
      </c>
      <c r="K49" s="16" t="s">
        <v>116</v>
      </c>
      <c r="L49" s="17">
        <v>6</v>
      </c>
    </row>
    <row r="50" spans="1:12" x14ac:dyDescent="0.3">
      <c r="A50" s="22" t="s">
        <v>82</v>
      </c>
      <c r="B50" s="23" t="s">
        <v>83</v>
      </c>
      <c r="C50" s="24">
        <v>6</v>
      </c>
      <c r="K50" s="16" t="s">
        <v>84</v>
      </c>
      <c r="L50" s="17">
        <v>6</v>
      </c>
    </row>
    <row r="51" spans="1:12" x14ac:dyDescent="0.3">
      <c r="A51" s="25" t="s">
        <v>172</v>
      </c>
      <c r="B51" s="26" t="s">
        <v>173</v>
      </c>
      <c r="C51" s="27">
        <v>6</v>
      </c>
      <c r="K51" s="16" t="s">
        <v>118</v>
      </c>
      <c r="L51" s="17">
        <v>6</v>
      </c>
    </row>
    <row r="52" spans="1:12" x14ac:dyDescent="0.3">
      <c r="A52" s="22" t="s">
        <v>174</v>
      </c>
      <c r="B52" s="23" t="s">
        <v>175</v>
      </c>
      <c r="C52" s="24">
        <v>6</v>
      </c>
      <c r="K52" s="16" t="s">
        <v>10</v>
      </c>
      <c r="L52" s="17">
        <v>6</v>
      </c>
    </row>
    <row r="53" spans="1:12" x14ac:dyDescent="0.3">
      <c r="A53" s="25" t="s">
        <v>176</v>
      </c>
      <c r="B53" s="26" t="s">
        <v>177</v>
      </c>
      <c r="C53" s="27">
        <v>6</v>
      </c>
      <c r="K53" s="16" t="s">
        <v>120</v>
      </c>
      <c r="L53" s="17">
        <v>6</v>
      </c>
    </row>
    <row r="54" spans="1:12" x14ac:dyDescent="0.3">
      <c r="A54" s="22" t="s">
        <v>178</v>
      </c>
      <c r="B54" s="23" t="s">
        <v>179</v>
      </c>
      <c r="C54" s="24">
        <v>6</v>
      </c>
      <c r="K54" s="16" t="s">
        <v>122</v>
      </c>
      <c r="L54" s="17">
        <v>6</v>
      </c>
    </row>
    <row r="55" spans="1:12" x14ac:dyDescent="0.3">
      <c r="A55" s="25" t="s">
        <v>180</v>
      </c>
      <c r="B55" s="26" t="s">
        <v>181</v>
      </c>
      <c r="C55" s="27">
        <v>6</v>
      </c>
      <c r="K55" s="16" t="s">
        <v>124</v>
      </c>
      <c r="L55" s="17">
        <v>6</v>
      </c>
    </row>
    <row r="56" spans="1:12" x14ac:dyDescent="0.3">
      <c r="A56" s="22" t="s">
        <v>182</v>
      </c>
      <c r="B56" s="23" t="s">
        <v>183</v>
      </c>
      <c r="C56" s="24">
        <v>6</v>
      </c>
      <c r="K56" s="16" t="s">
        <v>126</v>
      </c>
      <c r="L56" s="17">
        <v>6</v>
      </c>
    </row>
    <row r="57" spans="1:12" x14ac:dyDescent="0.3">
      <c r="A57" s="25" t="s">
        <v>184</v>
      </c>
      <c r="B57" s="26" t="s">
        <v>185</v>
      </c>
      <c r="C57" s="27">
        <v>6</v>
      </c>
      <c r="K57" s="16" t="s">
        <v>128</v>
      </c>
      <c r="L57" s="17">
        <v>6</v>
      </c>
    </row>
    <row r="58" spans="1:12" x14ac:dyDescent="0.3">
      <c r="A58" s="22" t="s">
        <v>186</v>
      </c>
      <c r="B58" s="23" t="s">
        <v>187</v>
      </c>
      <c r="C58" s="24">
        <v>6</v>
      </c>
      <c r="K58" s="16" t="s">
        <v>130</v>
      </c>
      <c r="L58" s="17">
        <v>6</v>
      </c>
    </row>
    <row r="59" spans="1:12" x14ac:dyDescent="0.3">
      <c r="A59" s="12" t="s">
        <v>188</v>
      </c>
      <c r="B59" s="13" t="s">
        <v>170</v>
      </c>
      <c r="C59" s="14">
        <v>6</v>
      </c>
      <c r="K59" s="16" t="s">
        <v>132</v>
      </c>
      <c r="L59" s="17">
        <v>6</v>
      </c>
    </row>
    <row r="60" spans="1:12" x14ac:dyDescent="0.3">
      <c r="K60" s="16" t="s">
        <v>134</v>
      </c>
      <c r="L60" s="17">
        <v>6</v>
      </c>
    </row>
    <row r="61" spans="1:12" x14ac:dyDescent="0.3">
      <c r="K61" s="16" t="s">
        <v>136</v>
      </c>
      <c r="L61" s="17">
        <v>6</v>
      </c>
    </row>
    <row r="62" spans="1:12" x14ac:dyDescent="0.3">
      <c r="K62" s="16" t="s">
        <v>137</v>
      </c>
      <c r="L62" s="17">
        <v>6</v>
      </c>
    </row>
    <row r="63" spans="1:12" x14ac:dyDescent="0.3">
      <c r="K63" s="16" t="s">
        <v>139</v>
      </c>
      <c r="L63" s="17">
        <v>6</v>
      </c>
    </row>
    <row r="64" spans="1:12" x14ac:dyDescent="0.3">
      <c r="K64" s="16" t="s">
        <v>141</v>
      </c>
      <c r="L64" s="17">
        <v>6</v>
      </c>
    </row>
    <row r="65" spans="11:12" x14ac:dyDescent="0.3">
      <c r="K65" s="16" t="s">
        <v>143</v>
      </c>
      <c r="L65" s="17">
        <v>6</v>
      </c>
    </row>
    <row r="66" spans="11:12" x14ac:dyDescent="0.3">
      <c r="K66" s="16" t="s">
        <v>145</v>
      </c>
      <c r="L66" s="17">
        <v>6</v>
      </c>
    </row>
    <row r="67" spans="11:12" x14ac:dyDescent="0.3">
      <c r="K67" s="16" t="s">
        <v>147</v>
      </c>
      <c r="L67" s="17">
        <v>6</v>
      </c>
    </row>
    <row r="68" spans="11:12" x14ac:dyDescent="0.3">
      <c r="K68" s="16" t="s">
        <v>149</v>
      </c>
      <c r="L68" s="17">
        <v>6</v>
      </c>
    </row>
    <row r="69" spans="11:12" x14ac:dyDescent="0.3">
      <c r="K69" s="16" t="s">
        <v>151</v>
      </c>
      <c r="L69" s="17">
        <v>6</v>
      </c>
    </row>
    <row r="70" spans="11:12" x14ac:dyDescent="0.3">
      <c r="K70" s="16" t="s">
        <v>153</v>
      </c>
      <c r="L70" s="17">
        <v>6</v>
      </c>
    </row>
    <row r="71" spans="11:12" x14ac:dyDescent="0.3">
      <c r="K71" s="16" t="s">
        <v>155</v>
      </c>
      <c r="L71" s="17">
        <v>6</v>
      </c>
    </row>
    <row r="72" spans="11:12" x14ac:dyDescent="0.3">
      <c r="K72" s="16" t="s">
        <v>14</v>
      </c>
      <c r="L72" s="17">
        <v>6</v>
      </c>
    </row>
    <row r="73" spans="11:12" x14ac:dyDescent="0.3">
      <c r="K73" s="16" t="s">
        <v>159</v>
      </c>
      <c r="L73" s="17">
        <v>6</v>
      </c>
    </row>
    <row r="74" spans="11:12" x14ac:dyDescent="0.3">
      <c r="K74" s="16" t="s">
        <v>161</v>
      </c>
      <c r="L74" s="17">
        <v>6</v>
      </c>
    </row>
    <row r="75" spans="11:12" x14ac:dyDescent="0.3">
      <c r="K75" s="16" t="s">
        <v>163</v>
      </c>
      <c r="L75" s="17">
        <v>6</v>
      </c>
    </row>
    <row r="76" spans="11:12" x14ac:dyDescent="0.3">
      <c r="K76" s="16" t="s">
        <v>165</v>
      </c>
      <c r="L76" s="17">
        <v>6</v>
      </c>
    </row>
    <row r="77" spans="11:12" x14ac:dyDescent="0.3">
      <c r="K77" s="16" t="s">
        <v>167</v>
      </c>
      <c r="L77" s="17">
        <v>6</v>
      </c>
    </row>
    <row r="78" spans="11:12" x14ac:dyDescent="0.3">
      <c r="K78" s="16" t="s">
        <v>169</v>
      </c>
      <c r="L78" s="17">
        <v>6</v>
      </c>
    </row>
    <row r="79" spans="11:12" x14ac:dyDescent="0.3">
      <c r="K79" s="16" t="s">
        <v>171</v>
      </c>
      <c r="L79" s="17">
        <v>6</v>
      </c>
    </row>
    <row r="80" spans="11:12" x14ac:dyDescent="0.3">
      <c r="K80" s="16" t="s">
        <v>82</v>
      </c>
      <c r="L80" s="17">
        <v>6</v>
      </c>
    </row>
    <row r="81" spans="11:12" x14ac:dyDescent="0.3">
      <c r="K81" s="16" t="s">
        <v>172</v>
      </c>
      <c r="L81" s="17">
        <v>6</v>
      </c>
    </row>
    <row r="82" spans="11:12" x14ac:dyDescent="0.3">
      <c r="K82" s="16" t="s">
        <v>174</v>
      </c>
      <c r="L82" s="17">
        <v>6</v>
      </c>
    </row>
    <row r="83" spans="11:12" x14ac:dyDescent="0.3">
      <c r="K83" s="16" t="s">
        <v>176</v>
      </c>
      <c r="L83" s="17">
        <v>6</v>
      </c>
    </row>
    <row r="84" spans="11:12" x14ac:dyDescent="0.3">
      <c r="K84" s="16" t="s">
        <v>178</v>
      </c>
      <c r="L84" s="17">
        <v>6</v>
      </c>
    </row>
    <row r="85" spans="11:12" x14ac:dyDescent="0.3">
      <c r="K85" s="16" t="s">
        <v>182</v>
      </c>
      <c r="L85" s="17">
        <v>6</v>
      </c>
    </row>
    <row r="86" spans="11:12" x14ac:dyDescent="0.3">
      <c r="K86" s="16" t="s">
        <v>186</v>
      </c>
      <c r="L86" s="17">
        <v>6</v>
      </c>
    </row>
    <row r="87" spans="11:12" x14ac:dyDescent="0.3">
      <c r="K87" s="16" t="s">
        <v>188</v>
      </c>
      <c r="L87" s="17">
        <v>6</v>
      </c>
    </row>
    <row r="88" spans="11:12" x14ac:dyDescent="0.3">
      <c r="K88" s="16" t="s">
        <v>194</v>
      </c>
      <c r="L88" s="17">
        <v>270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C05C-50EE-4975-A2CE-670A2214E9AB}">
  <dimension ref="A1:B6"/>
  <sheetViews>
    <sheetView workbookViewId="0">
      <selection activeCell="B7" sqref="B7"/>
    </sheetView>
  </sheetViews>
  <sheetFormatPr defaultRowHeight="14.4" x14ac:dyDescent="0.3"/>
  <cols>
    <col min="1" max="1" width="26.77734375" bestFit="1" customWidth="1"/>
    <col min="2" max="2" width="16.21875" bestFit="1" customWidth="1"/>
  </cols>
  <sheetData>
    <row r="1" spans="1:2" x14ac:dyDescent="0.3">
      <c r="A1" t="s">
        <v>189</v>
      </c>
      <c r="B1" t="s">
        <v>6</v>
      </c>
    </row>
    <row r="2" spans="1:2" x14ac:dyDescent="0.3">
      <c r="A2" t="s">
        <v>190</v>
      </c>
      <c r="B2">
        <v>420</v>
      </c>
    </row>
    <row r="6" spans="1:2" x14ac:dyDescent="0.3">
      <c r="A6" t="str" cm="1">
        <f t="array" ref="A6">_7__MOST_ACTIVE_PROFESSION[MOST_ACTIVE_PROFESSION]</f>
        <v>Legal Advisor</v>
      </c>
      <c r="B6" cm="1">
        <f t="array" ref="B6">_7__MOST_ACTIVE_PROFESSION[TOTAL_PROMPT]</f>
        <v>420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8200-7E6F-4566-B39D-F2FAE683D065}">
  <dimension ref="A1:D6"/>
  <sheetViews>
    <sheetView workbookViewId="0">
      <selection activeCell="F10" sqref="F10"/>
    </sheetView>
  </sheetViews>
  <sheetFormatPr defaultRowHeight="14.4" x14ac:dyDescent="0.3"/>
  <cols>
    <col min="1" max="1" width="19.21875" bestFit="1" customWidth="1"/>
    <col min="2" max="2" width="14.6640625" bestFit="1" customWidth="1"/>
    <col min="3" max="3" width="16.21875" bestFit="1" customWidth="1"/>
    <col min="4" max="4" width="17.88671875" bestFit="1" customWidth="1"/>
  </cols>
  <sheetData>
    <row r="1" spans="1:4" x14ac:dyDescent="0.3">
      <c r="A1" t="s">
        <v>191</v>
      </c>
      <c r="B1" t="s">
        <v>192</v>
      </c>
      <c r="C1" t="s">
        <v>6</v>
      </c>
      <c r="D1" t="s">
        <v>193</v>
      </c>
    </row>
    <row r="2" spans="1:4" x14ac:dyDescent="0.3">
      <c r="A2" t="s">
        <v>31</v>
      </c>
      <c r="B2">
        <v>757</v>
      </c>
      <c r="C2">
        <v>757</v>
      </c>
      <c r="D2">
        <v>757</v>
      </c>
    </row>
    <row r="6" spans="1:4" x14ac:dyDescent="0.3">
      <c r="A6" t="str" cm="1">
        <f t="array" ref="A6">_8__MOST_ACTIVE_CITY[MOST_ACTIVE_CITY]</f>
        <v>Vadodara</v>
      </c>
      <c r="B6" cm="1">
        <f t="array" ref="B6">_8__MOST_ACTIVE_CITY[TOTAL_USERS]</f>
        <v>757</v>
      </c>
      <c r="C6" cm="1">
        <f t="array" ref="C6">_8__MOST_ACTIVE_CITY[TOTAL_PROMPT]</f>
        <v>757</v>
      </c>
      <c r="D6" cm="1">
        <f t="array" ref="D6">_8__MOST_ACTIVE_CITY[TOTAL_SESSIONS]</f>
        <v>757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5A87-70BC-4C27-AB0C-33B576205052}">
  <dimension ref="A1:H13"/>
  <sheetViews>
    <sheetView workbookViewId="0">
      <selection activeCell="H24" sqref="H24"/>
    </sheetView>
  </sheetViews>
  <sheetFormatPr defaultRowHeight="14.4" x14ac:dyDescent="0.3"/>
  <cols>
    <col min="1" max="1" width="14.6640625" bestFit="1" customWidth="1"/>
    <col min="2" max="2" width="15.44140625" bestFit="1" customWidth="1"/>
    <col min="3" max="3" width="15.6640625" bestFit="1" customWidth="1"/>
    <col min="4" max="4" width="18" bestFit="1" customWidth="1"/>
    <col min="5" max="5" width="2.33203125" customWidth="1"/>
    <col min="6" max="6" width="11" bestFit="1" customWidth="1"/>
    <col min="7" max="7" width="14.77734375" bestFit="1" customWidth="1"/>
    <col min="8" max="8" width="18.77734375" bestFit="1" customWidth="1"/>
    <col min="9" max="9" width="19" bestFit="1" customWidth="1"/>
    <col min="10" max="10" width="6.33203125" bestFit="1" customWidth="1"/>
    <col min="11" max="11" width="14.44140625" bestFit="1" customWidth="1"/>
    <col min="12" max="12" width="26.6640625" bestFit="1" customWidth="1"/>
    <col min="13" max="13" width="10.5546875" bestFit="1" customWidth="1"/>
  </cols>
  <sheetData>
    <row r="1" spans="1:8" x14ac:dyDescent="0.3">
      <c r="A1" s="8" t="s">
        <v>197</v>
      </c>
      <c r="B1" s="8"/>
      <c r="C1" s="8"/>
      <c r="D1" s="8"/>
      <c r="F1" s="9" t="s">
        <v>198</v>
      </c>
      <c r="G1" s="10"/>
      <c r="H1" s="11"/>
    </row>
    <row r="2" spans="1:8" x14ac:dyDescent="0.3">
      <c r="A2" s="3" t="s">
        <v>195</v>
      </c>
      <c r="B2" s="1" t="s">
        <v>196</v>
      </c>
      <c r="C2" s="1" t="s">
        <v>193</v>
      </c>
      <c r="D2" s="1" t="s">
        <v>4</v>
      </c>
      <c r="F2" s="4" t="s">
        <v>1</v>
      </c>
      <c r="G2" s="5" t="s">
        <v>199</v>
      </c>
    </row>
    <row r="3" spans="1:8" x14ac:dyDescent="0.3">
      <c r="A3" s="1" t="s">
        <v>18</v>
      </c>
      <c r="B3" s="1">
        <v>27</v>
      </c>
      <c r="C3" s="1">
        <v>12</v>
      </c>
      <c r="D3" s="1">
        <v>7</v>
      </c>
      <c r="F3" s="6" t="s">
        <v>50</v>
      </c>
      <c r="G3" s="7">
        <f>TIME(9,8,0)</f>
        <v>0.38055555555555554</v>
      </c>
    </row>
    <row r="4" spans="1:8" x14ac:dyDescent="0.3">
      <c r="A4" s="1" t="s">
        <v>22</v>
      </c>
      <c r="B4" s="1">
        <v>21</v>
      </c>
      <c r="C4" s="1">
        <v>8</v>
      </c>
      <c r="D4" s="1">
        <v>5</v>
      </c>
      <c r="F4" s="6" t="s">
        <v>53</v>
      </c>
      <c r="G4" s="7">
        <f>TIME(9,8,0)</f>
        <v>0.38055555555555554</v>
      </c>
    </row>
    <row r="5" spans="1:8" x14ac:dyDescent="0.3">
      <c r="A5" s="1" t="s">
        <v>25</v>
      </c>
      <c r="B5" s="1">
        <v>20</v>
      </c>
      <c r="C5" s="1">
        <v>5</v>
      </c>
      <c r="D5" s="1">
        <v>4</v>
      </c>
      <c r="F5" s="6" t="s">
        <v>55</v>
      </c>
      <c r="G5" s="7">
        <f>TIME(9,8,0)</f>
        <v>0.38055555555555554</v>
      </c>
    </row>
    <row r="6" spans="1:8" x14ac:dyDescent="0.3">
      <c r="A6" s="1" t="s">
        <v>10</v>
      </c>
      <c r="B6" s="1">
        <v>19</v>
      </c>
      <c r="C6" s="1">
        <v>7</v>
      </c>
      <c r="D6" s="1">
        <v>6</v>
      </c>
      <c r="F6" s="6" t="s">
        <v>57</v>
      </c>
      <c r="G6" s="7">
        <f>TIME(9,8,0)</f>
        <v>0.38055555555555554</v>
      </c>
    </row>
    <row r="7" spans="1:8" x14ac:dyDescent="0.3">
      <c r="A7" s="1" t="s">
        <v>14</v>
      </c>
      <c r="B7" s="1">
        <v>19</v>
      </c>
      <c r="C7" s="1">
        <v>9</v>
      </c>
      <c r="D7" s="1">
        <v>6</v>
      </c>
      <c r="F7" s="6" t="s">
        <v>59</v>
      </c>
      <c r="G7" s="7">
        <f>TIME(9,8,0)</f>
        <v>0.38055555555555554</v>
      </c>
    </row>
    <row r="8" spans="1:8" x14ac:dyDescent="0.3">
      <c r="A8" s="1" t="s">
        <v>29</v>
      </c>
      <c r="B8" s="1">
        <v>19</v>
      </c>
      <c r="C8" s="1">
        <v>6</v>
      </c>
      <c r="D8" s="1">
        <v>4</v>
      </c>
      <c r="F8" s="6" t="s">
        <v>61</v>
      </c>
      <c r="G8" s="7">
        <f>TIME(9,6,0)</f>
        <v>0.37916666666666665</v>
      </c>
    </row>
    <row r="9" spans="1:8" x14ac:dyDescent="0.3">
      <c r="A9" s="1" t="s">
        <v>44</v>
      </c>
      <c r="B9" s="1">
        <v>16</v>
      </c>
      <c r="C9" s="1">
        <v>4</v>
      </c>
      <c r="D9" s="1">
        <v>2</v>
      </c>
      <c r="F9" s="6" t="s">
        <v>64</v>
      </c>
      <c r="G9" s="7">
        <f>TIME(9,6,0)</f>
        <v>0.37916666666666665</v>
      </c>
    </row>
    <row r="10" spans="1:8" x14ac:dyDescent="0.3">
      <c r="A10" s="1" t="s">
        <v>36</v>
      </c>
      <c r="B10" s="1">
        <v>16</v>
      </c>
      <c r="C10" s="1">
        <v>4</v>
      </c>
      <c r="D10" s="1">
        <v>3</v>
      </c>
      <c r="F10" s="6" t="s">
        <v>66</v>
      </c>
      <c r="G10" s="7">
        <f>TIME(9,5,0)</f>
        <v>0.37847222222222221</v>
      </c>
    </row>
    <row r="11" spans="1:8" x14ac:dyDescent="0.3">
      <c r="A11" s="1" t="s">
        <v>33</v>
      </c>
      <c r="B11" s="1">
        <v>15</v>
      </c>
      <c r="C11" s="1">
        <v>6</v>
      </c>
      <c r="D11" s="1">
        <v>5</v>
      </c>
      <c r="F11" s="6" t="s">
        <v>69</v>
      </c>
      <c r="G11" s="7">
        <f>TIME(9,5,0)</f>
        <v>0.37847222222222221</v>
      </c>
    </row>
    <row r="12" spans="1:8" x14ac:dyDescent="0.3">
      <c r="A12" s="1" t="s">
        <v>40</v>
      </c>
      <c r="B12" s="1">
        <v>14</v>
      </c>
      <c r="C12" s="1">
        <v>4</v>
      </c>
      <c r="D12" s="1">
        <v>3</v>
      </c>
      <c r="F12" s="6" t="s">
        <v>71</v>
      </c>
      <c r="G12" s="7">
        <f>TIME(9,5,0)</f>
        <v>0.37847222222222221</v>
      </c>
    </row>
    <row r="13" spans="1:8" x14ac:dyDescent="0.3">
      <c r="A13" s="1" t="s">
        <v>194</v>
      </c>
      <c r="B13" s="1">
        <v>186</v>
      </c>
      <c r="C13" s="1">
        <v>65</v>
      </c>
      <c r="D13" s="1">
        <v>45</v>
      </c>
    </row>
  </sheetData>
  <sortState xmlns:xlrd2="http://schemas.microsoft.com/office/spreadsheetml/2017/richdata2" ref="G3:G12">
    <sortCondition descending="1" ref="G3:G12"/>
  </sortState>
  <mergeCells count="2">
    <mergeCell ref="A1:D1"/>
    <mergeCell ref="F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C9507-0E2C-48B1-9EB0-B3FC2CCC00D1}">
  <dimension ref="A1:X35"/>
  <sheetViews>
    <sheetView tabSelected="1" topLeftCell="A13" zoomScale="90" zoomScaleNormal="90" workbookViewId="0">
      <selection activeCell="W37" sqref="W37"/>
    </sheetView>
  </sheetViews>
  <sheetFormatPr defaultRowHeight="14.4" x14ac:dyDescent="0.3"/>
  <sheetData>
    <row r="1" spans="1:2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X21">
        <f>37.19 /4</f>
        <v>9.2974999999999994</v>
      </c>
    </row>
    <row r="22" spans="1:2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79BDEC-C710-4CE5-9078-CAA767DE8C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 TOP 10 USERS</vt:lpstr>
      <vt:lpstr>2  TOP 10 USERS BY SESSION TIME</vt:lpstr>
      <vt:lpstr>3  TOP 10 USERS BY TOKEN USED</vt:lpstr>
      <vt:lpstr>4  AVG SESSSION PER USER</vt:lpstr>
      <vt:lpstr>5 AVG TOKEN PER USER</vt:lpstr>
      <vt:lpstr>6  MULTIPLE TOOL USERS</vt:lpstr>
      <vt:lpstr>7  MOST ACTIVE PROFESSION</vt:lpstr>
      <vt:lpstr>8  MOST ACTIVE CITY</vt:lpstr>
      <vt:lpstr>CALCULATIONS</vt:lpstr>
      <vt:lpstr>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AKASH</dc:creator>
  <cp:lastModifiedBy>L. AKASH</cp:lastModifiedBy>
  <dcterms:created xsi:type="dcterms:W3CDTF">2026-07-18T15:20:20Z</dcterms:created>
  <dcterms:modified xsi:type="dcterms:W3CDTF">2026-07-22T10:54:12Z</dcterms:modified>
</cp:coreProperties>
</file>